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ki\Desktop\"/>
    </mc:Choice>
  </mc:AlternateContent>
  <bookViews>
    <workbookView xWindow="0" yWindow="0" windowWidth="19200" windowHeight="7125" tabRatio="500" activeTab="1"/>
  </bookViews>
  <sheets>
    <sheet name="تعليمات" sheetId="1" r:id="rId1"/>
    <sheet name="بيانات_المشاريع" sheetId="2" r:id="rId2"/>
    <sheet name="مستخلصات_ريف" sheetId="3" r:id="rId3"/>
    <sheet name="القوائم" sheetId="5" state="hidden" r:id="rId4"/>
    <sheet name="مستخلصات_اعتماد" sheetId="4" r:id="rId5"/>
    <sheet name="المناقلات" sheetId="6" r:id="rId6"/>
    <sheet name="المستحدثات" sheetId="7" r:id="rId7"/>
    <sheet name="المهام" sheetId="8" r:id="rId8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<sst xmlns="http://schemas.openxmlformats.org/spreadsheetml/2006/main" count="256" uniqueCount="155">
  <si>
    <t>لوحة متابعة مشاريع مراكز الخدمات التسويقية للمنتجات الزراعية</t>
  </si>
  <si>
    <t>كيفية استخدام هذا الملف:</t>
  </si>
  <si>
    <t>1) عدّل البيانات في الأوراق التالية: بيانات_المشاريع، مستخلصات_ريف، مستخلصات_اعتماد، المناقلات، المستحدثات، المهام.</t>
  </si>
  <si>
    <t>2) الخلايا ذات التظليل الأصفر الفاتح هي الخلايا المخصصة للتعديل العام.</t>
  </si>
  <si>
    <t>3) الخلايا ذات التظليل الأخضر الفاتح هي أعمدة الروابط (رابط المستند) — الصقها كرابط ويب كامل يبدأ بـ https:// (مثل رابط من ريف، أو ون درايف، أو قوقل درايف، أو شير بوينت).</t>
  </si>
  <si>
    <t>4) احفظ الملف بصيغة xlsx بعد التعديل.</t>
  </si>
  <si>
    <t>5) افتح ملف لوحة المتابعة (dashboard.html) واضغط زر «تحديث البيانات من ملف إكسل» ثم اختر هذا الملف بعد حفظه.</t>
  </si>
  <si>
    <t>6) ستتحدث اللوحة تلقائيًا بجميع الرسوم البيانية والجداول والروابط دون الحاجة لأي برمجة.</t>
  </si>
  <si>
    <t>ملاحظات هامة:</t>
  </si>
  <si>
    <t>- في ورقة «مستخلصات_ريف» اترك تاريخ أي مرحلة فارغًا إذا لم تصل إليها المعاملة بعد.</t>
  </si>
  <si>
    <t>- في ورقة «مستخلصات_اعتماد» اختر الحالة من القائمة المنسدلة، وأدخل تاريخ دخول المستخلص في هذه الحالة بعمود «تاريخ الحالة الحالية» — ستحسب اللوحة عدد الأيام تلقائيًا حتى تاريخ اليوم.</t>
  </si>
  <si>
    <t>- تأكد أن اسم المشروع في كل الأوراق مطابق تمامًا لاسمه في ورقة «بيانات_المشاريع» (العمود A).</t>
  </si>
  <si>
    <t>- أعمدة الروابط اختيارية: إن تُركت فارغة يظهر رمز المستند باهتًا وغير قابل للنقر في اللوحة.</t>
  </si>
  <si>
    <t>اسم المشروع (مفتاح)</t>
  </si>
  <si>
    <t>الاسم الكامل</t>
  </si>
  <si>
    <t>الاستشاري</t>
  </si>
  <si>
    <t>حالة المشروع</t>
  </si>
  <si>
    <t>تاريخ البداية</t>
  </si>
  <si>
    <t>تاريخ الإيقاف</t>
  </si>
  <si>
    <t>تاريخ الاستئناف</t>
  </si>
  <si>
    <t>مدة التمديد (أيام)</t>
  </si>
  <si>
    <t>تاريخ النهاية</t>
  </si>
  <si>
    <t>قيمة المشروع (ريال)</t>
  </si>
  <si>
    <t>نسبة الإنجاز (%)</t>
  </si>
  <si>
    <t>رابط مستند بداية المشروع</t>
  </si>
  <si>
    <t>رابط مستند إيقاف المشروع</t>
  </si>
  <si>
    <t>رابط مستند استئناف المشروع</t>
  </si>
  <si>
    <t>رابط مستند تمديد المشروع</t>
  </si>
  <si>
    <t>رابط مستند قيمة المشروع</t>
  </si>
  <si>
    <t>مركز جازان</t>
  </si>
  <si>
    <t>إنشاء وتجهيز مركز الخدمات التسويقية للمنتجات الزراعية بمنطقة جازان</t>
  </si>
  <si>
    <t>مدارات</t>
  </si>
  <si>
    <t>جاري</t>
  </si>
  <si>
    <t>مركز عسير</t>
  </si>
  <si>
    <t>إنشاء وتجهيز مركز الخدمات التسويقية للمنتجات الزراعية بمنطقة عسير</t>
  </si>
  <si>
    <t>مركز الباحة</t>
  </si>
  <si>
    <t>إنشاء وتجهيز مركز الخدمات التسويقية للمنتجات الزراعية بمنطقة الباحة</t>
  </si>
  <si>
    <t>متوقف</t>
  </si>
  <si>
    <t>مركز القصيم</t>
  </si>
  <si>
    <t>إنشاء وتجهيز مركز الخدمات التسويقية للمنتجات الزراعية بمنطقة القصيم</t>
  </si>
  <si>
    <t>المنظور الشامل</t>
  </si>
  <si>
    <t>مركز حائل</t>
  </si>
  <si>
    <t>إنشاء وتجهيز مركز الخدمات التسويقية للمنتجات الزراعية بمنطقة حائل</t>
  </si>
  <si>
    <t>اسم المشروع</t>
  </si>
  <si>
    <t>رقم المستخلص</t>
  </si>
  <si>
    <t>مبلغ المستخلص (ريال)</t>
  </si>
  <si>
    <t>تاريخ رفع الطلب (ألفا ديم)</t>
  </si>
  <si>
    <t>تاريخ مكتب إدارة المشاريع (ريف)</t>
  </si>
  <si>
    <t>تاريخ مراجعة 1 الاستشاري</t>
  </si>
  <si>
    <t>تاريخ مراجعة استلام الاستشاري (مهندس الموقع)</t>
  </si>
  <si>
    <t>تاريخ مراجعة 2 الاستشاري</t>
  </si>
  <si>
    <t>تاريخ مراجعة إدارة المشاريع (ريف) النهائية</t>
  </si>
  <si>
    <t>رابط المستخلص في ريف</t>
  </si>
  <si>
    <t>رابط الحصر في ريف</t>
  </si>
  <si>
    <t>الحالة في منصة اعتماد</t>
  </si>
  <si>
    <t>تاريخ الحالة الحالية</t>
  </si>
  <si>
    <t>رابط مستندات المستخلص</t>
  </si>
  <si>
    <t>تم الصرف</t>
  </si>
  <si>
    <r>
      <rPr>
        <sz val="11"/>
        <color theme="1"/>
        <rFont val="FreeSans"/>
        <family val="2"/>
      </rPr>
      <t xml:space="preserve">تدقيق المطالبة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قبول الطلب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</si>
  <si>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FreeSans"/>
        <family val="2"/>
      </rPr>
      <t xml:space="preserve">تسجيل مطالبة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إرسال الطلب</t>
    </r>
    <r>
      <rPr>
        <sz val="11"/>
        <color theme="1"/>
        <rFont val="Calibri"/>
        <family val="2"/>
        <charset val="1"/>
      </rPr>
      <t>)</t>
    </r>
  </si>
  <si>
    <t>اعتماد المطالبة</t>
  </si>
  <si>
    <t>تحويل أمر الدفع لوزارة المالية</t>
  </si>
  <si>
    <r>
      <rPr>
        <sz val="11"/>
        <color theme="1"/>
        <rFont val="FreeSans"/>
        <family val="2"/>
      </rPr>
      <t xml:space="preserve">إرفاق شهادة الإنجاز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قبول الطلب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</si>
  <si>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FreeSans"/>
        <family val="2"/>
      </rPr>
      <t xml:space="preserve">تسجيل أمر صرف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إرسال</t>
    </r>
    <r>
      <rPr>
        <sz val="11"/>
        <color theme="1"/>
        <rFont val="Calibri"/>
        <family val="2"/>
        <charset val="1"/>
      </rPr>
      <t>)</t>
    </r>
  </si>
  <si>
    <t>اعتماد مدير الإدارة المالية لأمر الصرف</t>
  </si>
  <si>
    <t>اعتماد صاحب الصلاحية النهائي لأمر الصرف</t>
  </si>
  <si>
    <t>اعتماد المراقب المالي لأمر الصرف</t>
  </si>
  <si>
    <r>
      <rPr>
        <sz val="11"/>
        <color theme="1"/>
        <rFont val="FreeSans"/>
        <family val="2"/>
      </rPr>
      <t xml:space="preserve">أمر صرف معتمد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FreeSans"/>
        <family val="2"/>
      </rPr>
      <t>مطالبة معتمدة</t>
    </r>
  </si>
  <si>
    <r>
      <rPr>
        <sz val="11"/>
        <color theme="1"/>
        <rFont val="FreeSans"/>
        <family val="2"/>
      </rPr>
      <t xml:space="preserve">تسجيل أمر دفع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FreeSans"/>
        <family val="2"/>
      </rPr>
      <t>إرسال</t>
    </r>
    <r>
      <rPr>
        <sz val="11"/>
        <color theme="1"/>
        <rFont val="Calibri"/>
        <family val="2"/>
        <charset val="1"/>
      </rPr>
      <t>)</t>
    </r>
  </si>
  <si>
    <t>اعتماد مدقق أمر الدفع</t>
  </si>
  <si>
    <t>اعتماد مدير الإدارة المالية لأمر الدفع</t>
  </si>
  <si>
    <t>اعتماد صاحب الصلاحية النهائي لأمر الدفع</t>
  </si>
  <si>
    <t>اعتماد المراقب المالي لأمر الدفع</t>
  </si>
  <si>
    <t>رقم المناقلة</t>
  </si>
  <si>
    <t>مبلغ المناقلة (ريال)</t>
  </si>
  <si>
    <t>الإجراء الحالي</t>
  </si>
  <si>
    <t>رابط المستند</t>
  </si>
  <si>
    <t>رقم المستحدث</t>
  </si>
  <si>
    <t>مبلغ المستحدث (ريال)</t>
  </si>
  <si>
    <t>التاريخ</t>
  </si>
  <si>
    <t>المهمة / الإجراء</t>
  </si>
  <si>
    <t>https://portal.reefpmo.com/project-requests/48691b48-5acf-49bf-a6d4-9cf86fa55b96/details</t>
  </si>
  <si>
    <t>https://portal.reefpmo.com/project-requests/ce5c1346-474b-4e64-a50f-25815ab4e639/details</t>
  </si>
  <si>
    <t>https://portal.reefpmo.com/project-requests/7f9e4d58-95cd-461a-aa7d-f2da52405fd3/details</t>
  </si>
  <si>
    <t>https://portal.reefpmo.com/project-requests/2cabddac-56aa-4b16-b252-282e675107f5/details</t>
  </si>
  <si>
    <t>https://portal.reefpmo.com/project-requests/78bd135c-98fb-4080-8cf1-067b251a8655/details</t>
  </si>
  <si>
    <t>https://portal.reefpmo.com/project-requests/a1a86177-6701-4955-adc9-d499434ca0db/details</t>
  </si>
  <si>
    <t>https://portal.reefpmo.com/project-requests/e8ecdb8c-bd3e-4311-be26-a2c3d0d15389/details</t>
  </si>
  <si>
    <t>تسجيل مطالبة (إرسال الطلب)</t>
  </si>
  <si>
    <t>https://portal.reefpmo.com/project-requests/3f0a56a4-4ce5-4ae9-8757-6dd7560e0d4d/details</t>
  </si>
  <si>
    <t>تم عكسها على منصة اعتماد</t>
  </si>
  <si>
    <t>بانتظار عكس المستحدث على منصة اعتماد</t>
  </si>
  <si>
    <t>عدم إمكانية رفع م3 بسبب ان العقد تحت التعديل في منصة اعتماد</t>
  </si>
  <si>
    <t>بانتظار عكس المناقلة على منصة اعتماد</t>
  </si>
  <si>
    <t>https://portal.reefpmo.com/project-requests/97668d7c-5046-430d-9c6f-1745d92675d0/details</t>
  </si>
  <si>
    <t>عدم إمكانية رفع م8 بسبب ان العقد تحت التعديل في منصة اعتماد</t>
  </si>
  <si>
    <t>تم عكس البنود المستحدثة في منصة اعتماد</t>
  </si>
  <si>
    <t>بانتظار تعميد البنود المستحدثة</t>
  </si>
  <si>
    <t>https://drive.google.com/file/d/1B8txxstdgOKwY2gvw18uY_kz-8Gdp-fn/view?usp=sharing</t>
  </si>
  <si>
    <t>https://drive.google.com/file/d/1_a1bcUrvgPFCthrwX-o7v2aqdpBIZ1_B/view?usp=sharing</t>
  </si>
  <si>
    <t>https://drive.google.com/file/d/1N5q5cyVwf8JCd9011lMFddeSa18MMZjR/view?usp=sharing</t>
  </si>
  <si>
    <t>https://drive.google.com/file/d/14vhbGQwKwItKGhVFUl_kT3g3M93e-C3l/view?usp=sharing</t>
  </si>
  <si>
    <t>https://drive.google.com/file/d/1q5AIm1VqQJfHo5NguuA6UQbaotQ3QozJ/view?usp=sharing</t>
  </si>
  <si>
    <t>https://drive.google.com/file/d/1-cii5zYBZkJ07a0rLICyuHwiWeP8rFas/view?usp=sharing</t>
  </si>
  <si>
    <t>https://drive.google.com/file/d/1f7N1op0Eq2aUvSpdM-TGCMMRr9-X5mVL/view?usp=sharing</t>
  </si>
  <si>
    <t>https://drive.google.com/file/d/1pDnGVol0Stj4ebDo6i0vFBRjEBiWEpun/view?usp=sharing</t>
  </si>
  <si>
    <t>https://drive.google.com/file/d/1nARHrgke1O2BEiW9tIusnii-LKwqzD5U/view?usp=sharing</t>
  </si>
  <si>
    <t>https://drive.google.com/file/d/1PymrMki7xMZ9VIMGigMtT7qDyl6Upr9z/view?usp=sharing</t>
  </si>
  <si>
    <t>https://drive.google.com/file/d/1hKpH8veuopPR0hdGnnly4ai3pSGvD6Tl/view?usp=sharing</t>
  </si>
  <si>
    <t>https://drive.google.com/file/d/1U3hBMOJpWuj9LVJb6wOFWWs_SLNnNYV1/view?usp=sharing</t>
  </si>
  <si>
    <t>https://drive.google.com/file/d/1bE_ykNzdTEqS6It0bCFnIML01-Z83FWb/view?usp=sharing</t>
  </si>
  <si>
    <t>https://drive.google.com/file/d/1NOvEKBn3MXEBZ_yVJ1-9Z1O0Pkv0aH8Z/view?usp=sharing</t>
  </si>
  <si>
    <t>https://drive.google.com/file/d/1ULLAfUdGGLzvnN_VjYMZ6WOfrZlfn6At/view?usp=sharing</t>
  </si>
  <si>
    <t>https://drive.google.com/file/d/1evTvz6TvZtqlsIb6XvJAWgoN6wIhBv-J/view?usp=sharing</t>
  </si>
  <si>
    <t>https://drive.google.com/file/d/1mKpDaFN0c2vohsgeW69CaFX0vF4VZNDs/view?usp=sharing</t>
  </si>
  <si>
    <t>https://drive.google.com/file/d/1s5z8HH1EHfRBKA-53c3iA3hbl1SstCDB/view?usp=sharing</t>
  </si>
  <si>
    <t>https://drive.google.com/file/d/1FlN_PRCd-WPnMuTJxIjFxdQ9A2AHQNZU/view?usp=sharing</t>
  </si>
  <si>
    <t>https://drive.google.com/file/d/1fumrGa8qHBZoewEo_4ibVDY8F9OopHdU/view?usp=sharing</t>
  </si>
  <si>
    <t>https://drive.google.com/file/d/1v5cXTIdztu5xePwvE7BUfxiVzlZOcU6q/view?usp=sharing</t>
  </si>
  <si>
    <t>https://drive.google.com/file/d/1E6-M4zeXRjXHpJ3yZ7trKob_a_MrTiDb/view?usp=sharing</t>
  </si>
  <si>
    <t>https://drive.google.com/file/d/1_7NKdQkkffslotxBNRcwaWQAwGhw37KP/view?usp=sharing</t>
  </si>
  <si>
    <t>https://drive.google.com/file/d/1cw6LmBH0gwFSLTnMvOLlBnAz4UzcfO5t/view?usp=sharing</t>
  </si>
  <si>
    <t>https://drive.google.com/file/d/1ICb21GefBFWiqUwNaqzvchKPyHCHQBHJ/view?usp=sharing</t>
  </si>
  <si>
    <t>https://drive.google.com/file/d/1LmkxYcsf4Cv709qAQL4ofGKttVQvk2-j/view?usp=sharing</t>
  </si>
  <si>
    <t>https://drive.google.com/file/d/1gFVYsV_5dY36b-Qsy7Z6fkbE_6KEfKo8/view?usp=sharing</t>
  </si>
  <si>
    <t>https://drive.google.com/file/d/12wW9lGJStBfz5lxPPEZotO8GHpeX3ZgP/view?usp=sharing</t>
  </si>
  <si>
    <t>https://drive.google.com/file/d/1ygyKk-ujqAmh1hlnWIYlg5DGL2dHqqt1/view?usp=sharing</t>
  </si>
  <si>
    <t>https://drive.google.com/file/d/1aIcMUN_RjdUIxxVPfk493rUsKmcvQ59f/view?usp=sharing</t>
  </si>
  <si>
    <t>https://drive.google.com/file/d/1RD4fJUhd2orKZ5yJcdYXvnhJ_TflUGEs/view?usp=sharing</t>
  </si>
  <si>
    <t>https://drive.google.com/file/d/1SFaccaBKkF_krQnF0iJyH_pua8dYXSoJ/view?usp=sharing</t>
  </si>
  <si>
    <t>https://drive.google.com/file/d/1Zb9wrOEGG38ZJUFM1PAsP46G0ABcAQiM/view?usp=sharing</t>
  </si>
  <si>
    <t>https://drive.google.com/file/d/1s18cywprcVoJ5246uJCirorIhLF2Ct6B/view?usp=sharing</t>
  </si>
  <si>
    <t>https://drive.google.com/file/d/1JB7Dxg9u0ZIsAQ2fis1RCfLyJkJt0gOH/view?usp=sharing</t>
  </si>
  <si>
    <t>https://drive.google.com/file/d/1ETMJJaCim3nqn2VjClRgvvxCHdoXG6eX/view?usp=sharing</t>
  </si>
  <si>
    <t>https://drive.google.com/file/d/1eiYyeP89_88-mEqwYfJAu2KMUie_p58Y/view?usp=sharing</t>
  </si>
  <si>
    <t>https://drive.google.com/file/d/1X7mjKqWPk5-ECdT4YtXZfP2bNy2rQ1ha/view?usp=sharing</t>
  </si>
  <si>
    <t>https://drive.google.com/file/d/1c_pmnuYZqwQYMzbRwzigD6gJdtfNcyox/view?usp=sharing</t>
  </si>
  <si>
    <t>https://drive.google.com/file/d/1m8CJAkDxZiKIl5QXp9SzmiBt5mDo4TBd/view?usp=sharing</t>
  </si>
  <si>
    <t>https://drive.google.com/file/d/1OCqZ1HProvyCzUfEKxWsht3FYn8fXjLH/view?usp=sharing</t>
  </si>
  <si>
    <t>https://drive.google.com/file/d/1DlMynKHwtQ0gJnfIIRWXUZbr-ScVJ9Xj/view?usp=sharing</t>
  </si>
  <si>
    <t>https://drive.google.com/file/d/1rZ_YUd0-kg0nq5JVxuOuBi5990T6Vhs7/view?usp=sharing</t>
  </si>
  <si>
    <t>https://drive.google.com/file/d/1DckjxD9TX_mbavDyQNC7tr2X_xQYpIuN/view?usp=sharing</t>
  </si>
  <si>
    <t>https://drive.google.com/file/d/1_tQc8ArqbcNbUiYfPNruqv3B-ZwKzRNk/view?usp=sharing</t>
  </si>
  <si>
    <t>https://drive.google.com/file/d/1_OZVJhxRsUmW9frCUoeElMmithZX2EvH/view?usp=sharing</t>
  </si>
  <si>
    <t>https://drive.google.com/file/d/10TX6uxTy_ZIgBQUhd67FxhF6WtFjMcyY/view?usp=sharing</t>
  </si>
  <si>
    <t>https://drive.google.com/file/d/1vw5W2XhyJRwZX7D5FHGy6h6oi8y_6bN_/view?usp=sharing</t>
  </si>
  <si>
    <t>https://drive.google.com/file/d/1Ts8Pn85Xhn71QYcWYKGml4SZXY6RFBMk/view?usp=sharing</t>
  </si>
  <si>
    <t>https://portal.reefpmo.com/project-requests/4fb39237-e170-419a-b845-0814e662a49c/details</t>
  </si>
  <si>
    <t>تم ارسال خطاب من ريف بطلب تمديد العقد للجنة فحص العروض (482555002) 1448/04/02</t>
  </si>
  <si>
    <t>متابعة تعميد المستحدث مع مدة التمديد 6 اشهر(25221980) 1447/12/01- التحديث: الطلب لدى لجنة فحص العروض</t>
  </si>
  <si>
    <t>عكس المناقلة في منصة اعتماد (إدارة المشتريات والعقود)</t>
  </si>
  <si>
    <t>عكس المستحدث في منصة اعتماد (إدارة المشتريات والعقود)</t>
  </si>
  <si>
    <t>عكس المناقلة 2 في منصة اعتماد (إدارة المشتريات والعقود)</t>
  </si>
  <si>
    <t>رقم العقد</t>
  </si>
  <si>
    <t>رقم المطالبة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</si>
</sst>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"/>
    </font>
    <font>
      <b/>
      <sz val="14"/>
      <color rgb="FF2F5D5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FreeSans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  <fill>
      <patternFill patternType="solid">
        <fgColor rgb="FFFFF6E0"/>
        <bgColor rgb="FFFFFFFF"/>
      </patternFill>
    </fill>
    <fill>
      <patternFill patternType="solid">
        <fgColor rgb="FFEAF2ED"/>
        <bgColor rgb="FFFFF6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0" borderId="0" xfId="0" applyFont="1"/>
    <xf numFmtId="14" fontId="0" fillId="3" borderId="1" xfId="0" applyNumberFormat="1" applyFont="1" applyFill="1" applyBorder="1" applyAlignment="1">
      <alignment horizontal="center" vertical="center"/>
    </xf>
    <xf numFmtId="0" fontId="5" fillId="4" borderId="1" xfId="1" applyFill="1" applyBorder="1" applyAlignment="1">
      <alignment horizontal="center" vertical="center" wrapText="1"/>
    </xf>
    <xf numFmtId="0" fontId="5" fillId="0" borderId="0" xfId="1" applyAlignment="1">
      <alignment wrapText="1"/>
    </xf>
    <xf numFmtId="0" fontId="0" fillId="4" borderId="1" xfId="0" applyFont="1" applyFill="1" applyBorder="1" applyAlignment="1">
      <alignment horizontal="center" vertical="center" wrapText="1"/>
    </xf>
    <xf numFmtId="0" fontId="5" fillId="4" borderId="1" xfId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0" fillId="3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E0"/>
      <rgbColor rgb="FFEAF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DnGVol0Stj4ebDo6i0vFBRjEBiWEpun/view?usp=sharing" TargetMode="External"/><Relationship Id="rId13" Type="http://schemas.openxmlformats.org/officeDocument/2006/relationships/hyperlink" Target="https://drive.google.com/file/d/1bE_ykNzdTEqS6It0bCFnIML01-Z83FWb/view?usp=sharing" TargetMode="External"/><Relationship Id="rId18" Type="http://schemas.openxmlformats.org/officeDocument/2006/relationships/hyperlink" Target="https://drive.google.com/file/d/1s5z8HH1EHfRBKA-53c3iA3hbl1SstCDB/view?usp=sharing" TargetMode="External"/><Relationship Id="rId3" Type="http://schemas.openxmlformats.org/officeDocument/2006/relationships/hyperlink" Target="https://drive.google.com/file/d/1N5q5cyVwf8JCd9011lMFddeSa18MMZjR/view?usp=sharing" TargetMode="External"/><Relationship Id="rId7" Type="http://schemas.openxmlformats.org/officeDocument/2006/relationships/hyperlink" Target="https://drive.google.com/file/d/1f7N1op0Eq2aUvSpdM-TGCMMRr9-X5mVL/view?usp=sharing" TargetMode="External"/><Relationship Id="rId12" Type="http://schemas.openxmlformats.org/officeDocument/2006/relationships/hyperlink" Target="https://drive.google.com/file/d/1U3hBMOJpWuj9LVJb6wOFWWs_SLNnNYV1/view?usp=sharing" TargetMode="External"/><Relationship Id="rId17" Type="http://schemas.openxmlformats.org/officeDocument/2006/relationships/hyperlink" Target="https://drive.google.com/file/d/1mKpDaFN0c2vohsgeW69CaFX0vF4VZNDs/view?usp=sharing" TargetMode="External"/><Relationship Id="rId2" Type="http://schemas.openxmlformats.org/officeDocument/2006/relationships/hyperlink" Target="https://drive.google.com/file/d/1_a1bcUrvgPFCthrwX-o7v2aqdpBIZ1_B/view?usp=sharing" TargetMode="External"/><Relationship Id="rId16" Type="http://schemas.openxmlformats.org/officeDocument/2006/relationships/hyperlink" Target="https://drive.google.com/file/d/1evTvz6TvZtqlsIb6XvJAWgoN6wIhBv-J/view?usp=sharing" TargetMode="External"/><Relationship Id="rId1" Type="http://schemas.openxmlformats.org/officeDocument/2006/relationships/hyperlink" Target="https://drive.google.com/file/d/1B8txxstdgOKwY2gvw18uY_kz-8Gdp-fn/view?usp=sharing" TargetMode="External"/><Relationship Id="rId6" Type="http://schemas.openxmlformats.org/officeDocument/2006/relationships/hyperlink" Target="https://drive.google.com/file/d/1-cii5zYBZkJ07a0rLICyuHwiWeP8rFas/view?usp=sharing" TargetMode="External"/><Relationship Id="rId11" Type="http://schemas.openxmlformats.org/officeDocument/2006/relationships/hyperlink" Target="https://drive.google.com/file/d/1hKpH8veuopPR0hdGnnly4ai3pSGvD6Tl/view?usp=sharing" TargetMode="External"/><Relationship Id="rId5" Type="http://schemas.openxmlformats.org/officeDocument/2006/relationships/hyperlink" Target="https://drive.google.com/file/d/1q5AIm1VqQJfHo5NguuA6UQbaotQ3QozJ/view?usp=sharing" TargetMode="External"/><Relationship Id="rId15" Type="http://schemas.openxmlformats.org/officeDocument/2006/relationships/hyperlink" Target="https://drive.google.com/file/d/1ULLAfUdGGLzvnN_VjYMZ6WOfrZlfn6At/view?usp=sharing" TargetMode="External"/><Relationship Id="rId10" Type="http://schemas.openxmlformats.org/officeDocument/2006/relationships/hyperlink" Target="https://drive.google.com/file/d/1PymrMki7xMZ9VIMGigMtT7qDyl6Upr9z/view?usp=sharing" TargetMode="External"/><Relationship Id="rId19" Type="http://schemas.openxmlformats.org/officeDocument/2006/relationships/hyperlink" Target="https://drive.google.com/file/d/1FlN_PRCd-WPnMuTJxIjFxdQ9A2AHQNZU/view?usp=sharing" TargetMode="External"/><Relationship Id="rId4" Type="http://schemas.openxmlformats.org/officeDocument/2006/relationships/hyperlink" Target="https://drive.google.com/file/d/14vhbGQwKwItKGhVFUl_kT3g3M93e-C3l/view?usp=sharing" TargetMode="External"/><Relationship Id="rId9" Type="http://schemas.openxmlformats.org/officeDocument/2006/relationships/hyperlink" Target="https://drive.google.com/file/d/1nARHrgke1O2BEiW9tIusnii-LKwqzD5U/view?usp=sharing" TargetMode="External"/><Relationship Id="rId14" Type="http://schemas.openxmlformats.org/officeDocument/2006/relationships/hyperlink" Target="https://drive.google.com/file/d/1NOvEKBn3MXEBZ_yVJ1-9Z1O0Pkv0aH8Z/view?usp=shar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reefpmo.com/project-requests/3f0a56a4-4ce5-4ae9-8757-6dd7560e0d4d/details" TargetMode="External"/><Relationship Id="rId3" Type="http://schemas.openxmlformats.org/officeDocument/2006/relationships/hyperlink" Target="https://portal.reefpmo.com/project-requests/7f9e4d58-95cd-461a-aa7d-f2da52405fd3/details" TargetMode="External"/><Relationship Id="rId7" Type="http://schemas.openxmlformats.org/officeDocument/2006/relationships/hyperlink" Target="https://portal.reefpmo.com/project-requests/e8ecdb8c-bd3e-4311-be26-a2c3d0d15389/details" TargetMode="External"/><Relationship Id="rId2" Type="http://schemas.openxmlformats.org/officeDocument/2006/relationships/hyperlink" Target="https://portal.reefpmo.com/project-requests/ce5c1346-474b-4e64-a50f-25815ab4e639/details" TargetMode="External"/><Relationship Id="rId1" Type="http://schemas.openxmlformats.org/officeDocument/2006/relationships/hyperlink" Target="https://portal.reefpmo.com/project-requests/48691b48-5acf-49bf-a6d4-9cf86fa55b96/details" TargetMode="External"/><Relationship Id="rId6" Type="http://schemas.openxmlformats.org/officeDocument/2006/relationships/hyperlink" Target="https://portal.reefpmo.com/project-requests/a1a86177-6701-4955-adc9-d499434ca0db/details" TargetMode="External"/><Relationship Id="rId5" Type="http://schemas.openxmlformats.org/officeDocument/2006/relationships/hyperlink" Target="https://portal.reefpmo.com/project-requests/78bd135c-98fb-4080-8cf1-067b251a8655/details" TargetMode="External"/><Relationship Id="rId10" Type="http://schemas.openxmlformats.org/officeDocument/2006/relationships/hyperlink" Target="https://portal.reefpmo.com/project-requests/4fb39237-e170-419a-b845-0814e662a49c/details" TargetMode="External"/><Relationship Id="rId4" Type="http://schemas.openxmlformats.org/officeDocument/2006/relationships/hyperlink" Target="https://portal.reefpmo.com/project-requests/2cabddac-56aa-4b16-b252-282e675107f5/details" TargetMode="External"/><Relationship Id="rId9" Type="http://schemas.openxmlformats.org/officeDocument/2006/relationships/hyperlink" Target="https://portal.reefpmo.com/project-requests/97668d7c-5046-430d-9c6f-1745d92675d0/detail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FVYsV_5dY36b-Qsy7Z6fkbE_6KEfKo8/view?usp=sharing" TargetMode="External"/><Relationship Id="rId13" Type="http://schemas.openxmlformats.org/officeDocument/2006/relationships/hyperlink" Target="https://drive.google.com/file/d/1SFaccaBKkF_krQnF0iJyH_pua8dYXSoJ/view?usp=sharing" TargetMode="External"/><Relationship Id="rId18" Type="http://schemas.openxmlformats.org/officeDocument/2006/relationships/hyperlink" Target="https://drive.google.com/file/d/1eiYyeP89_88-mEqwYfJAu2KMUie_p58Y/view?usp=sharing" TargetMode="External"/><Relationship Id="rId3" Type="http://schemas.openxmlformats.org/officeDocument/2006/relationships/hyperlink" Target="https://drive.google.com/file/d/1E6-M4zeXRjXHpJ3yZ7trKob_a_MrTiDb/view?usp=sharing" TargetMode="External"/><Relationship Id="rId21" Type="http://schemas.openxmlformats.org/officeDocument/2006/relationships/hyperlink" Target="https://drive.google.com/file/d/1m8CJAkDxZiKIl5QXp9SzmiBt5mDo4TBd/view?usp=sharing" TargetMode="External"/><Relationship Id="rId7" Type="http://schemas.openxmlformats.org/officeDocument/2006/relationships/hyperlink" Target="https://drive.google.com/file/d/1LmkxYcsf4Cv709qAQL4ofGKttVQvk2-j/view?usp=sharing" TargetMode="External"/><Relationship Id="rId12" Type="http://schemas.openxmlformats.org/officeDocument/2006/relationships/hyperlink" Target="https://drive.google.com/file/d/1RD4fJUhd2orKZ5yJcdYXvnhJ_TflUGEs/view?usp=sharing" TargetMode="External"/><Relationship Id="rId17" Type="http://schemas.openxmlformats.org/officeDocument/2006/relationships/hyperlink" Target="https://drive.google.com/file/d/1ETMJJaCim3nqn2VjClRgvvxCHdoXG6eX/view?usp=sharing" TargetMode="External"/><Relationship Id="rId2" Type="http://schemas.openxmlformats.org/officeDocument/2006/relationships/hyperlink" Target="https://drive.google.com/file/d/1v5cXTIdztu5xePwvE7BUfxiVzlZOcU6q/view?usp=sharing" TargetMode="External"/><Relationship Id="rId16" Type="http://schemas.openxmlformats.org/officeDocument/2006/relationships/hyperlink" Target="https://drive.google.com/file/d/1JB7Dxg9u0ZIsAQ2fis1RCfLyJkJt0gOH/view?usp=sharing" TargetMode="External"/><Relationship Id="rId20" Type="http://schemas.openxmlformats.org/officeDocument/2006/relationships/hyperlink" Target="https://drive.google.com/file/d/1c_pmnuYZqwQYMzbRwzigD6gJdtfNcyox/view?usp=sharing" TargetMode="External"/><Relationship Id="rId1" Type="http://schemas.openxmlformats.org/officeDocument/2006/relationships/hyperlink" Target="https://drive.google.com/file/d/1fumrGa8qHBZoewEo_4ibVDY8F9OopHdU/view?usp=sharing" TargetMode="External"/><Relationship Id="rId6" Type="http://schemas.openxmlformats.org/officeDocument/2006/relationships/hyperlink" Target="https://drive.google.com/file/d/1ICb21GefBFWiqUwNaqzvchKPyHCHQBHJ/view?usp=sharing" TargetMode="External"/><Relationship Id="rId11" Type="http://schemas.openxmlformats.org/officeDocument/2006/relationships/hyperlink" Target="https://drive.google.com/file/d/1aIcMUN_RjdUIxxVPfk493rUsKmcvQ59f/view?usp=sharing" TargetMode="External"/><Relationship Id="rId5" Type="http://schemas.openxmlformats.org/officeDocument/2006/relationships/hyperlink" Target="https://drive.google.com/file/d/1cw6LmBH0gwFSLTnMvOLlBnAz4UzcfO5t/view?usp=sharing" TargetMode="External"/><Relationship Id="rId15" Type="http://schemas.openxmlformats.org/officeDocument/2006/relationships/hyperlink" Target="https://drive.google.com/file/d/1s18cywprcVoJ5246uJCirorIhLF2Ct6B/view?usp=sharing" TargetMode="External"/><Relationship Id="rId23" Type="http://schemas.openxmlformats.org/officeDocument/2006/relationships/hyperlink" Target="https://drive.google.com/file/d/1DlMynKHwtQ0gJnfIIRWXUZbr-ScVJ9Xj/view?usp=sharing" TargetMode="External"/><Relationship Id="rId10" Type="http://schemas.openxmlformats.org/officeDocument/2006/relationships/hyperlink" Target="https://drive.google.com/file/d/1ygyKk-ujqAmh1hlnWIYlg5DGL2dHqqt1/view?usp=sharing" TargetMode="External"/><Relationship Id="rId19" Type="http://schemas.openxmlformats.org/officeDocument/2006/relationships/hyperlink" Target="https://drive.google.com/file/d/1X7mjKqWPk5-ECdT4YtXZfP2bNy2rQ1ha/view?usp=sharing" TargetMode="External"/><Relationship Id="rId4" Type="http://schemas.openxmlformats.org/officeDocument/2006/relationships/hyperlink" Target="https://drive.google.com/file/d/1_7NKdQkkffslotxBNRcwaWQAwGhw37KP/view?usp=sharing" TargetMode="External"/><Relationship Id="rId9" Type="http://schemas.openxmlformats.org/officeDocument/2006/relationships/hyperlink" Target="https://drive.google.com/file/d/12wW9lGJStBfz5lxPPEZotO8GHpeX3ZgP/view?usp=sharing" TargetMode="External"/><Relationship Id="rId14" Type="http://schemas.openxmlformats.org/officeDocument/2006/relationships/hyperlink" Target="https://drive.google.com/file/d/1Zb9wrOEGG38ZJUFM1PAsP46G0ABcAQiM/view?usp=sharing" TargetMode="External"/><Relationship Id="rId22" Type="http://schemas.openxmlformats.org/officeDocument/2006/relationships/hyperlink" Target="https://drive.google.com/file/d/1OCqZ1HProvyCzUfEKxWsht3FYn8fXjLH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_tQc8ArqbcNbUiYfPNruqv3B-ZwKzRNk/view?usp=sharing" TargetMode="External"/><Relationship Id="rId2" Type="http://schemas.openxmlformats.org/officeDocument/2006/relationships/hyperlink" Target="https://drive.google.com/file/d/1DckjxD9TX_mbavDyQNC7tr2X_xQYpIuN/view?usp=sharing" TargetMode="External"/><Relationship Id="rId1" Type="http://schemas.openxmlformats.org/officeDocument/2006/relationships/hyperlink" Target="https://drive.google.com/file/d/1rZ_YUd0-kg0nq5JVxuOuBi5990T6Vhs7/view?usp=sharing" TargetMode="External"/><Relationship Id="rId6" Type="http://schemas.openxmlformats.org/officeDocument/2006/relationships/hyperlink" Target="https://drive.google.com/file/d/1Ts8Pn85Xhn71QYcWYKGml4SZXY6RFBMk/view?usp=sharing" TargetMode="External"/><Relationship Id="rId5" Type="http://schemas.openxmlformats.org/officeDocument/2006/relationships/hyperlink" Target="https://drive.google.com/file/d/10TX6uxTy_ZIgBQUhd67FxhF6WtFjMcyY/view?usp=sharing" TargetMode="External"/><Relationship Id="rId4" Type="http://schemas.openxmlformats.org/officeDocument/2006/relationships/hyperlink" Target="https://drive.google.com/file/d/1_OZVJhxRsUmW9frCUoeElMmithZX2EvH/view?usp=sharin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vw5W2XhyJRwZX7D5FHGy6h6oi8y_6bN_/view?usp=sharing" TargetMode="External"/><Relationship Id="rId1" Type="http://schemas.openxmlformats.org/officeDocument/2006/relationships/hyperlink" Target="https://drive.google.com/file/d/1hKpH8veuopPR0hdGnnly4ai3pSGvD6T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6"/>
  <sheetViews>
    <sheetView rightToLeft="1" topLeftCell="A2" zoomScaleNormal="100" workbookViewId="0">
      <selection activeCell="E2" sqref="E2"/>
    </sheetView>
  </sheetViews>
  <sheetFormatPr defaultColWidth="8.6640625" defaultRowHeight="14.25"/>
  <cols>
    <col min="1" max="1" width="3" customWidth="1"/>
    <col min="2" max="2" width="100" customWidth="1"/>
  </cols>
  <sheetData>
    <row r="2" spans="2:2" ht="17.649999999999999">
      <c r="B2" s="1" t="s">
        <v>0</v>
      </c>
    </row>
    <row r="4" spans="2:2">
      <c r="B4" s="2" t="s">
        <v>1</v>
      </c>
    </row>
    <row r="5" spans="2:2">
      <c r="B5" s="2" t="s">
        <v>2</v>
      </c>
    </row>
    <row r="6" spans="2:2">
      <c r="B6" s="2" t="s">
        <v>3</v>
      </c>
    </row>
    <row r="7" spans="2:2">
      <c r="B7" s="2" t="s">
        <v>4</v>
      </c>
    </row>
    <row r="8" spans="2:2">
      <c r="B8" s="2" t="s">
        <v>5</v>
      </c>
    </row>
    <row r="9" spans="2:2">
      <c r="B9" s="2" t="s">
        <v>6</v>
      </c>
    </row>
    <row r="10" spans="2:2">
      <c r="B10" s="2" t="s">
        <v>7</v>
      </c>
    </row>
    <row r="11" spans="2:2">
      <c r="B11" s="2"/>
    </row>
    <row r="12" spans="2:2">
      <c r="B12" s="2" t="s">
        <v>8</v>
      </c>
    </row>
    <row r="13" spans="2:2">
      <c r="B13" s="2" t="s">
        <v>9</v>
      </c>
    </row>
    <row r="14" spans="2:2">
      <c r="B14" s="2" t="s">
        <v>10</v>
      </c>
    </row>
    <row r="15" spans="2:2">
      <c r="B15" s="2" t="s">
        <v>11</v>
      </c>
    </row>
    <row r="16" spans="2:2">
      <c r="B16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rightToLeft="1" tabSelected="1" zoomScaleNormal="100" workbookViewId="0">
      <pane ySplit="1" topLeftCell="A2" activePane="bottomLeft" state="frozen"/>
      <selection pane="bottomLeft" activeCell="B5" sqref="B5"/>
    </sheetView>
  </sheetViews>
  <sheetFormatPr defaultColWidth="8.6640625" defaultRowHeight="14.25"/>
  <cols>
    <col min="1" max="1" width="16" customWidth="1"/>
    <col min="2" max="2" width="60" customWidth="1"/>
    <col min="3" max="3" width="18" customWidth="1"/>
    <col min="4" max="4" width="17.9296875" customWidth="1"/>
    <col min="5" max="8" width="14" customWidth="1"/>
    <col min="9" max="9" width="16" customWidth="1"/>
    <col min="10" max="10" width="14" customWidth="1"/>
    <col min="11" max="11" width="18" customWidth="1"/>
    <col min="12" max="12" width="16" customWidth="1"/>
    <col min="13" max="17" width="28" customWidth="1"/>
  </cols>
  <sheetData>
    <row r="1" spans="1:17">
      <c r="A1" s="3" t="s">
        <v>13</v>
      </c>
      <c r="B1" s="3" t="s">
        <v>14</v>
      </c>
      <c r="C1" s="3" t="s">
        <v>15</v>
      </c>
      <c r="D1" s="3" t="s">
        <v>153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</row>
    <row r="2" spans="1:17" ht="57">
      <c r="A2" s="4" t="s">
        <v>29</v>
      </c>
      <c r="B2" s="4" t="s">
        <v>30</v>
      </c>
      <c r="C2" s="4" t="s">
        <v>31</v>
      </c>
      <c r="D2" s="13">
        <v>230501170757</v>
      </c>
      <c r="E2" s="4" t="s">
        <v>37</v>
      </c>
      <c r="F2" s="8">
        <v>45567</v>
      </c>
      <c r="G2" s="8">
        <v>45890</v>
      </c>
      <c r="H2" s="5"/>
      <c r="I2" s="5"/>
      <c r="J2" s="5"/>
      <c r="K2" s="5">
        <v>25255534.379999999</v>
      </c>
      <c r="L2" s="5">
        <v>50</v>
      </c>
      <c r="M2" s="9" t="s">
        <v>98</v>
      </c>
      <c r="N2" s="9" t="s">
        <v>99</v>
      </c>
      <c r="O2" s="9"/>
      <c r="P2" s="11"/>
      <c r="Q2" s="9" t="s">
        <v>100</v>
      </c>
    </row>
    <row r="3" spans="1:17" ht="57">
      <c r="A3" s="4" t="s">
        <v>33</v>
      </c>
      <c r="B3" s="4" t="s">
        <v>34</v>
      </c>
      <c r="C3" s="4" t="s">
        <v>31</v>
      </c>
      <c r="D3" s="13">
        <v>230301108090</v>
      </c>
      <c r="E3" s="4" t="s">
        <v>32</v>
      </c>
      <c r="F3" s="8">
        <v>45356</v>
      </c>
      <c r="G3" s="8">
        <v>45622</v>
      </c>
      <c r="H3" s="8">
        <v>46237</v>
      </c>
      <c r="I3" s="5">
        <v>660</v>
      </c>
      <c r="J3" s="8">
        <v>46381</v>
      </c>
      <c r="K3" s="5">
        <v>22998532.079999998</v>
      </c>
      <c r="L3" s="5">
        <v>40</v>
      </c>
      <c r="M3" s="9" t="s">
        <v>101</v>
      </c>
      <c r="N3" s="9" t="s">
        <v>102</v>
      </c>
      <c r="O3" s="9" t="s">
        <v>103</v>
      </c>
      <c r="P3" s="9" t="s">
        <v>104</v>
      </c>
      <c r="Q3" s="9" t="s">
        <v>105</v>
      </c>
    </row>
    <row r="4" spans="1:17" ht="42.75">
      <c r="A4" s="4" t="s">
        <v>35</v>
      </c>
      <c r="B4" s="4" t="s">
        <v>36</v>
      </c>
      <c r="C4" s="4" t="s">
        <v>31</v>
      </c>
      <c r="D4" s="13">
        <v>230301102765</v>
      </c>
      <c r="E4" s="4" t="s">
        <v>37</v>
      </c>
      <c r="F4" s="8">
        <v>45673</v>
      </c>
      <c r="G4" s="8">
        <v>46197</v>
      </c>
      <c r="H4" s="5"/>
      <c r="I4" s="5">
        <v>180</v>
      </c>
      <c r="J4" s="5"/>
      <c r="K4" s="5">
        <v>24104000</v>
      </c>
      <c r="L4" s="5">
        <v>40</v>
      </c>
      <c r="M4" s="9" t="s">
        <v>106</v>
      </c>
      <c r="N4" s="9" t="s">
        <v>107</v>
      </c>
      <c r="O4" s="11"/>
      <c r="P4" s="9" t="s">
        <v>108</v>
      </c>
      <c r="Q4" s="9" t="s">
        <v>109</v>
      </c>
    </row>
    <row r="5" spans="1:17" ht="57">
      <c r="A5" s="4" t="s">
        <v>38</v>
      </c>
      <c r="B5" s="4" t="s">
        <v>39</v>
      </c>
      <c r="C5" s="4" t="s">
        <v>40</v>
      </c>
      <c r="D5" s="13">
        <v>230501006980</v>
      </c>
      <c r="E5" s="4" t="s">
        <v>32</v>
      </c>
      <c r="F5" s="8">
        <v>45162</v>
      </c>
      <c r="G5" s="8">
        <v>45262</v>
      </c>
      <c r="H5" s="8">
        <v>46160</v>
      </c>
      <c r="I5" s="5">
        <v>943</v>
      </c>
      <c r="J5" s="8">
        <v>46470</v>
      </c>
      <c r="K5" s="5">
        <v>25274607.210000001</v>
      </c>
      <c r="L5" s="5">
        <v>40</v>
      </c>
      <c r="M5" s="9" t="s">
        <v>110</v>
      </c>
      <c r="N5" s="9" t="s">
        <v>111</v>
      </c>
      <c r="O5" s="9" t="s">
        <v>112</v>
      </c>
      <c r="P5" s="9" t="s">
        <v>113</v>
      </c>
      <c r="Q5" s="9" t="s">
        <v>114</v>
      </c>
    </row>
    <row r="6" spans="1:17" ht="57">
      <c r="A6" s="4" t="s">
        <v>41</v>
      </c>
      <c r="B6" s="4" t="s">
        <v>42</v>
      </c>
      <c r="C6" s="4" t="s">
        <v>40</v>
      </c>
      <c r="D6" s="13">
        <v>230701015615</v>
      </c>
      <c r="E6" s="4" t="s">
        <v>32</v>
      </c>
      <c r="F6" s="8">
        <v>46041</v>
      </c>
      <c r="G6" s="5"/>
      <c r="H6" s="5"/>
      <c r="I6" s="5"/>
      <c r="J6" s="8">
        <v>46405</v>
      </c>
      <c r="K6" s="5">
        <v>25210660.789999999</v>
      </c>
      <c r="L6" s="5">
        <v>20</v>
      </c>
      <c r="M6" s="9" t="s">
        <v>115</v>
      </c>
      <c r="N6" s="11"/>
      <c r="O6" s="11"/>
      <c r="P6" s="11"/>
      <c r="Q6" s="9" t="s">
        <v>116</v>
      </c>
    </row>
  </sheetData>
  <dataValidations count="1">
    <dataValidation type="list" sqref="E2:E6">
      <formula1>"جاري,متوقف"</formula1>
      <formula2>0</formula2>
    </dataValidation>
  </dataValidations>
  <hyperlinks>
    <hyperlink ref="M2" r:id="rId1"/>
    <hyperlink ref="N2" r:id="rId2"/>
    <hyperlink ref="Q2" r:id="rId3"/>
    <hyperlink ref="M3" r:id="rId4"/>
    <hyperlink ref="N3" r:id="rId5"/>
    <hyperlink ref="O3" r:id="rId6"/>
    <hyperlink ref="P3" r:id="rId7"/>
    <hyperlink ref="Q3" r:id="rId8"/>
    <hyperlink ref="M4" r:id="rId9"/>
    <hyperlink ref="N4" r:id="rId10"/>
    <hyperlink ref="P4" r:id="rId11"/>
    <hyperlink ref="Q4" r:id="rId12"/>
    <hyperlink ref="M5" r:id="rId13"/>
    <hyperlink ref="N5" r:id="rId14"/>
    <hyperlink ref="O5" r:id="rId15"/>
    <hyperlink ref="P5" r:id="rId16"/>
    <hyperlink ref="Q5" r:id="rId17"/>
    <hyperlink ref="M6" r:id="rId18"/>
    <hyperlink ref="Q6" r:id="rId19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rightToLeft="1" topLeftCell="D1" zoomScaleNormal="100" workbookViewId="0">
      <pane ySplit="1" topLeftCell="A3" activePane="bottomLeft" state="frozen"/>
      <selection pane="bottomLeft" activeCell="E9" sqref="E9"/>
    </sheetView>
  </sheetViews>
  <sheetFormatPr defaultColWidth="8.6640625" defaultRowHeight="14.25"/>
  <cols>
    <col min="1" max="1" width="14" customWidth="1"/>
    <col min="2" max="2" width="12" customWidth="1"/>
    <col min="3" max="4" width="18" customWidth="1"/>
    <col min="5" max="5" width="20" customWidth="1"/>
    <col min="6" max="6" width="18" customWidth="1"/>
    <col min="7" max="7" width="26" customWidth="1"/>
    <col min="8" max="8" width="18" customWidth="1"/>
    <col min="9" max="11" width="26" customWidth="1"/>
  </cols>
  <sheetData>
    <row r="1" spans="1:11" ht="27.75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</row>
    <row r="2" spans="1:11" ht="57">
      <c r="A2" s="4" t="s">
        <v>29</v>
      </c>
      <c r="B2" s="5">
        <v>10</v>
      </c>
      <c r="C2" s="5">
        <v>4936942.4000000004</v>
      </c>
      <c r="D2" s="8">
        <v>46266</v>
      </c>
      <c r="E2" s="8">
        <v>46266</v>
      </c>
      <c r="F2" s="8">
        <v>46267</v>
      </c>
      <c r="G2" s="8">
        <v>46272</v>
      </c>
      <c r="H2" s="8">
        <v>46272</v>
      </c>
      <c r="I2" s="8">
        <v>46272</v>
      </c>
      <c r="J2" s="9" t="s">
        <v>82</v>
      </c>
      <c r="K2" s="10" t="s">
        <v>81</v>
      </c>
    </row>
    <row r="3" spans="1:11" ht="57">
      <c r="A3" s="4" t="s">
        <v>33</v>
      </c>
      <c r="B3" s="5">
        <v>3</v>
      </c>
      <c r="C3" s="5">
        <v>5497905.1200000001</v>
      </c>
      <c r="D3" s="8">
        <v>46238</v>
      </c>
      <c r="E3" s="8">
        <v>46238</v>
      </c>
      <c r="F3" s="8">
        <v>46238</v>
      </c>
      <c r="G3" s="8">
        <v>46238</v>
      </c>
      <c r="H3" s="8">
        <v>46238</v>
      </c>
      <c r="I3" s="8">
        <v>46238</v>
      </c>
      <c r="J3" s="9" t="s">
        <v>83</v>
      </c>
      <c r="K3" s="9" t="s">
        <v>84</v>
      </c>
    </row>
    <row r="4" spans="1:11" ht="57">
      <c r="A4" s="4" t="s">
        <v>35</v>
      </c>
      <c r="B4" s="5">
        <v>8</v>
      </c>
      <c r="C4" s="5">
        <v>5077174.25</v>
      </c>
      <c r="D4" s="8">
        <v>46274</v>
      </c>
      <c r="E4" s="8">
        <v>46274</v>
      </c>
      <c r="F4" s="8">
        <v>46274</v>
      </c>
      <c r="G4" s="8">
        <v>46274</v>
      </c>
      <c r="H4" s="8">
        <v>46274</v>
      </c>
      <c r="I4" s="8">
        <v>46274</v>
      </c>
      <c r="J4" s="9" t="s">
        <v>85</v>
      </c>
      <c r="K4" s="9" t="s">
        <v>86</v>
      </c>
    </row>
    <row r="5" spans="1:11" ht="57">
      <c r="A5" s="4" t="s">
        <v>38</v>
      </c>
      <c r="B5" s="5">
        <v>5</v>
      </c>
      <c r="C5" s="5">
        <v>5274266.1500000004</v>
      </c>
      <c r="D5" s="8">
        <v>46275</v>
      </c>
      <c r="E5" s="8">
        <v>46275</v>
      </c>
      <c r="F5" s="8">
        <v>46275</v>
      </c>
      <c r="G5" s="8">
        <v>46275</v>
      </c>
      <c r="H5" s="8">
        <v>46275</v>
      </c>
      <c r="I5" s="8">
        <v>46276</v>
      </c>
      <c r="J5" s="9" t="s">
        <v>89</v>
      </c>
      <c r="K5" s="9" t="s">
        <v>87</v>
      </c>
    </row>
    <row r="6" spans="1:11" ht="57">
      <c r="A6" s="4" t="s">
        <v>41</v>
      </c>
      <c r="B6" s="5">
        <v>2</v>
      </c>
      <c r="C6" s="5">
        <v>1110858.5900000001</v>
      </c>
      <c r="D6" s="8">
        <v>46276</v>
      </c>
      <c r="E6" s="8">
        <v>46276</v>
      </c>
      <c r="F6" s="8">
        <v>46279</v>
      </c>
      <c r="G6" s="8">
        <v>46279</v>
      </c>
      <c r="H6" s="5"/>
      <c r="I6" s="5"/>
      <c r="J6" s="9" t="s">
        <v>147</v>
      </c>
      <c r="K6" s="9" t="s">
        <v>94</v>
      </c>
    </row>
  </sheetData>
  <hyperlinks>
    <hyperlink ref="K2" r:id="rId1"/>
    <hyperlink ref="J2" r:id="rId2"/>
    <hyperlink ref="J3" r:id="rId3"/>
    <hyperlink ref="K3" r:id="rId4"/>
    <hyperlink ref="J4" r:id="rId5"/>
    <hyperlink ref="K4" r:id="rId6"/>
    <hyperlink ref="K5" r:id="rId7"/>
    <hyperlink ref="J5" r:id="rId8"/>
    <hyperlink ref="K6" r:id="rId9"/>
    <hyperlink ref="J6" r:id="rId10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Normal="100" workbookViewId="0"/>
  </sheetViews>
  <sheetFormatPr defaultColWidth="8.6640625" defaultRowHeight="14.25"/>
  <sheetData>
    <row r="1" spans="1:2">
      <c r="A1" s="7" t="s">
        <v>32</v>
      </c>
      <c r="B1" s="7" t="s">
        <v>59</v>
      </c>
    </row>
    <row r="2" spans="1:2">
      <c r="A2" s="7" t="s">
        <v>37</v>
      </c>
      <c r="B2" s="7" t="s">
        <v>62</v>
      </c>
    </row>
    <row r="3" spans="1:2">
      <c r="B3" s="7" t="s">
        <v>58</v>
      </c>
    </row>
    <row r="4" spans="1:2">
      <c r="B4" s="7" t="s">
        <v>60</v>
      </c>
    </row>
    <row r="5" spans="1:2">
      <c r="B5" s="7" t="s">
        <v>63</v>
      </c>
    </row>
    <row r="6" spans="1:2">
      <c r="B6" s="7" t="s">
        <v>64</v>
      </c>
    </row>
    <row r="7" spans="1:2">
      <c r="B7" s="7" t="s">
        <v>65</v>
      </c>
    </row>
    <row r="8" spans="1:2">
      <c r="B8" s="7" t="s">
        <v>66</v>
      </c>
    </row>
    <row r="9" spans="1:2">
      <c r="B9" s="7" t="s">
        <v>67</v>
      </c>
    </row>
    <row r="10" spans="1:2">
      <c r="B10" s="7" t="s">
        <v>68</v>
      </c>
    </row>
    <row r="11" spans="1:2">
      <c r="B11" s="7" t="s">
        <v>69</v>
      </c>
    </row>
    <row r="12" spans="1:2">
      <c r="B12" s="7" t="s">
        <v>70</v>
      </c>
    </row>
    <row r="13" spans="1:2">
      <c r="B13" s="7" t="s">
        <v>71</v>
      </c>
    </row>
    <row r="14" spans="1:2">
      <c r="B14" s="7" t="s">
        <v>72</v>
      </c>
    </row>
    <row r="15" spans="1:2">
      <c r="B15" s="7" t="s">
        <v>61</v>
      </c>
    </row>
    <row r="16" spans="1:2">
      <c r="B16" s="7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rightToLeft="1" zoomScaleNormal="100" workbookViewId="0">
      <pane ySplit="1" topLeftCell="A13" activePane="bottomLeft" state="frozen"/>
      <selection pane="bottomLeft" activeCell="C28" sqref="C28"/>
    </sheetView>
  </sheetViews>
  <sheetFormatPr defaultColWidth="8.6640625" defaultRowHeight="14.25"/>
  <cols>
    <col min="1" max="1" width="14" customWidth="1"/>
    <col min="2" max="2" width="12" customWidth="1"/>
    <col min="3" max="3" width="14.1328125" customWidth="1"/>
    <col min="4" max="4" width="18" customWidth="1"/>
    <col min="5" max="5" width="40" customWidth="1"/>
    <col min="6" max="6" width="18" customWidth="1"/>
    <col min="7" max="7" width="28" customWidth="1"/>
  </cols>
  <sheetData>
    <row r="1" spans="1:7">
      <c r="A1" s="3" t="s">
        <v>43</v>
      </c>
      <c r="B1" s="3" t="s">
        <v>44</v>
      </c>
      <c r="C1" s="3" t="s">
        <v>154</v>
      </c>
      <c r="D1" s="3" t="s">
        <v>45</v>
      </c>
      <c r="E1" s="3" t="s">
        <v>54</v>
      </c>
      <c r="F1" s="3" t="s">
        <v>55</v>
      </c>
      <c r="G1" s="3" t="s">
        <v>56</v>
      </c>
    </row>
    <row r="2" spans="1:7">
      <c r="A2" s="4" t="s">
        <v>29</v>
      </c>
      <c r="B2" s="5">
        <v>1</v>
      </c>
      <c r="C2" s="5"/>
      <c r="D2" s="5">
        <v>524423.48</v>
      </c>
      <c r="E2" s="4" t="s">
        <v>57</v>
      </c>
      <c r="F2" s="8">
        <v>46023</v>
      </c>
      <c r="G2" s="12" t="s">
        <v>117</v>
      </c>
    </row>
    <row r="3" spans="1:7">
      <c r="A3" s="4" t="s">
        <v>29</v>
      </c>
      <c r="B3" s="5">
        <v>2</v>
      </c>
      <c r="C3" s="5"/>
      <c r="D3" s="5">
        <v>598669.88</v>
      </c>
      <c r="E3" s="4" t="s">
        <v>57</v>
      </c>
      <c r="F3" s="8">
        <v>46023</v>
      </c>
      <c r="G3" s="12" t="s">
        <v>118</v>
      </c>
    </row>
    <row r="4" spans="1:7">
      <c r="A4" s="4" t="s">
        <v>29</v>
      </c>
      <c r="B4" s="5">
        <v>3</v>
      </c>
      <c r="C4" s="5"/>
      <c r="D4" s="5">
        <v>1426602.6</v>
      </c>
      <c r="E4" s="4" t="s">
        <v>57</v>
      </c>
      <c r="F4" s="8">
        <v>46023</v>
      </c>
      <c r="G4" s="12" t="s">
        <v>119</v>
      </c>
    </row>
    <row r="5" spans="1:7">
      <c r="A5" s="4" t="s">
        <v>29</v>
      </c>
      <c r="B5" s="5">
        <v>4</v>
      </c>
      <c r="C5" s="5"/>
      <c r="D5" s="5">
        <v>392689.25</v>
      </c>
      <c r="E5" s="4" t="s">
        <v>57</v>
      </c>
      <c r="F5" s="8">
        <v>46023</v>
      </c>
      <c r="G5" s="12" t="s">
        <v>120</v>
      </c>
    </row>
    <row r="6" spans="1:7">
      <c r="A6" s="4" t="s">
        <v>29</v>
      </c>
      <c r="B6" s="5">
        <v>5</v>
      </c>
      <c r="C6" s="5"/>
      <c r="D6" s="5">
        <v>352176</v>
      </c>
      <c r="E6" s="4" t="s">
        <v>57</v>
      </c>
      <c r="F6" s="8">
        <v>46023</v>
      </c>
      <c r="G6" s="12" t="s">
        <v>121</v>
      </c>
    </row>
    <row r="7" spans="1:7">
      <c r="A7" s="4" t="s">
        <v>29</v>
      </c>
      <c r="B7" s="5">
        <v>6</v>
      </c>
      <c r="C7" s="5"/>
      <c r="D7" s="5">
        <v>537444.93999999994</v>
      </c>
      <c r="E7" s="4" t="s">
        <v>57</v>
      </c>
      <c r="F7" s="8">
        <v>46023</v>
      </c>
      <c r="G7" s="12" t="s">
        <v>122</v>
      </c>
    </row>
    <row r="8" spans="1:7">
      <c r="A8" s="4" t="s">
        <v>29</v>
      </c>
      <c r="B8" s="5">
        <v>7</v>
      </c>
      <c r="C8" s="5"/>
      <c r="D8" s="5">
        <v>593042.69999999995</v>
      </c>
      <c r="E8" s="4" t="s">
        <v>57</v>
      </c>
      <c r="F8" s="8">
        <v>46023</v>
      </c>
      <c r="G8" s="12" t="s">
        <v>123</v>
      </c>
    </row>
    <row r="9" spans="1:7">
      <c r="A9" s="4" t="s">
        <v>29</v>
      </c>
      <c r="B9" s="5">
        <v>8</v>
      </c>
      <c r="C9" s="14"/>
      <c r="D9" s="5">
        <v>923980.9</v>
      </c>
      <c r="E9" s="4" t="s">
        <v>57</v>
      </c>
      <c r="F9" s="8">
        <v>46023</v>
      </c>
      <c r="G9" s="12" t="s">
        <v>124</v>
      </c>
    </row>
    <row r="10" spans="1:7">
      <c r="A10" s="4" t="s">
        <v>29</v>
      </c>
      <c r="B10" s="5">
        <v>9</v>
      </c>
      <c r="C10" s="14">
        <v>260802063096</v>
      </c>
      <c r="D10" s="5">
        <v>1967626.35</v>
      </c>
      <c r="E10" s="4" t="s">
        <v>61</v>
      </c>
      <c r="F10" s="8">
        <v>46272</v>
      </c>
      <c r="G10" s="12" t="s">
        <v>125</v>
      </c>
    </row>
    <row r="11" spans="1:7">
      <c r="A11" s="4" t="s">
        <v>29</v>
      </c>
      <c r="B11" s="5">
        <v>10</v>
      </c>
      <c r="C11" s="14">
        <v>260902033089</v>
      </c>
      <c r="D11" s="5">
        <v>4936942.4000000004</v>
      </c>
      <c r="E11" s="4" t="s">
        <v>88</v>
      </c>
      <c r="F11" s="8">
        <v>46274</v>
      </c>
      <c r="G11" s="6"/>
    </row>
    <row r="12" spans="1:7">
      <c r="A12" s="4" t="s">
        <v>33</v>
      </c>
      <c r="B12" s="5">
        <v>1</v>
      </c>
      <c r="C12" s="14"/>
      <c r="D12" s="5">
        <v>2153887.79</v>
      </c>
      <c r="E12" s="4" t="s">
        <v>57</v>
      </c>
      <c r="F12" s="8">
        <v>46023</v>
      </c>
      <c r="G12" s="12" t="s">
        <v>126</v>
      </c>
    </row>
    <row r="13" spans="1:7">
      <c r="A13" s="4" t="s">
        <v>33</v>
      </c>
      <c r="B13" s="5">
        <v>2</v>
      </c>
      <c r="C13" s="14"/>
      <c r="D13" s="5">
        <v>1770714.23</v>
      </c>
      <c r="E13" s="4" t="s">
        <v>57</v>
      </c>
      <c r="F13" s="8">
        <v>46023</v>
      </c>
      <c r="G13" s="12" t="s">
        <v>127</v>
      </c>
    </row>
    <row r="14" spans="1:7">
      <c r="A14" s="4" t="s">
        <v>33</v>
      </c>
      <c r="B14" s="5">
        <v>3</v>
      </c>
      <c r="C14" s="14"/>
      <c r="D14" s="5">
        <v>5497905.1200000001</v>
      </c>
      <c r="E14" s="4"/>
      <c r="F14" s="5"/>
      <c r="G14" s="6"/>
    </row>
    <row r="15" spans="1:7">
      <c r="A15" s="4" t="s">
        <v>35</v>
      </c>
      <c r="B15" s="5">
        <v>1</v>
      </c>
      <c r="C15" s="14"/>
      <c r="D15" s="5">
        <v>20305.689999999999</v>
      </c>
      <c r="E15" s="4" t="s">
        <v>57</v>
      </c>
      <c r="F15" s="8">
        <v>46023</v>
      </c>
      <c r="G15" s="12" t="s">
        <v>128</v>
      </c>
    </row>
    <row r="16" spans="1:7">
      <c r="A16" s="4" t="s">
        <v>35</v>
      </c>
      <c r="B16" s="5">
        <v>2</v>
      </c>
      <c r="C16" s="14"/>
      <c r="D16" s="5">
        <v>149789.57</v>
      </c>
      <c r="E16" s="4" t="s">
        <v>57</v>
      </c>
      <c r="F16" s="8">
        <v>46023</v>
      </c>
      <c r="G16" s="12" t="s">
        <v>129</v>
      </c>
    </row>
    <row r="17" spans="1:7">
      <c r="A17" s="4" t="s">
        <v>35</v>
      </c>
      <c r="B17" s="5">
        <v>3</v>
      </c>
      <c r="C17" s="14"/>
      <c r="D17" s="5">
        <v>254014.1</v>
      </c>
      <c r="E17" s="4" t="s">
        <v>57</v>
      </c>
      <c r="F17" s="8">
        <v>46023</v>
      </c>
      <c r="G17" s="12" t="s">
        <v>130</v>
      </c>
    </row>
    <row r="18" spans="1:7">
      <c r="A18" s="4" t="s">
        <v>35</v>
      </c>
      <c r="B18" s="5">
        <v>4</v>
      </c>
      <c r="C18" s="14"/>
      <c r="D18" s="5">
        <v>1317129.67</v>
      </c>
      <c r="E18" s="4" t="s">
        <v>57</v>
      </c>
      <c r="F18" s="8">
        <v>46023</v>
      </c>
      <c r="G18" s="12" t="s">
        <v>131</v>
      </c>
    </row>
    <row r="19" spans="1:7">
      <c r="A19" s="4" t="s">
        <v>35</v>
      </c>
      <c r="B19" s="5">
        <v>5</v>
      </c>
      <c r="C19" s="14"/>
      <c r="D19" s="5">
        <v>326492.99</v>
      </c>
      <c r="E19" s="4" t="s">
        <v>57</v>
      </c>
      <c r="F19" s="8">
        <v>46023</v>
      </c>
      <c r="G19" s="12" t="s">
        <v>132</v>
      </c>
    </row>
    <row r="20" spans="1:7">
      <c r="A20" s="4" t="s">
        <v>35</v>
      </c>
      <c r="B20" s="5">
        <v>6</v>
      </c>
      <c r="C20" s="14"/>
      <c r="D20" s="5">
        <v>1815207.98</v>
      </c>
      <c r="E20" s="4" t="s">
        <v>57</v>
      </c>
      <c r="F20" s="8">
        <v>46023</v>
      </c>
      <c r="G20" s="12" t="s">
        <v>133</v>
      </c>
    </row>
    <row r="21" spans="1:7">
      <c r="A21" s="4" t="s">
        <v>35</v>
      </c>
      <c r="B21" s="5">
        <v>7</v>
      </c>
      <c r="C21" s="14">
        <v>260802022985</v>
      </c>
      <c r="D21" s="5">
        <v>1863006.96</v>
      </c>
      <c r="E21" s="4" t="s">
        <v>61</v>
      </c>
      <c r="F21" s="8">
        <v>46258</v>
      </c>
      <c r="G21" s="12" t="s">
        <v>134</v>
      </c>
    </row>
    <row r="22" spans="1:7">
      <c r="A22" s="4" t="s">
        <v>35</v>
      </c>
      <c r="B22" s="5">
        <v>8</v>
      </c>
      <c r="C22" s="14"/>
      <c r="D22" s="5">
        <v>5077174.25</v>
      </c>
      <c r="E22" s="4"/>
      <c r="F22" s="8"/>
      <c r="G22" s="6"/>
    </row>
    <row r="23" spans="1:7">
      <c r="A23" s="4" t="s">
        <v>38</v>
      </c>
      <c r="B23" s="5">
        <v>1</v>
      </c>
      <c r="C23" s="14"/>
      <c r="D23" s="5">
        <v>497941.68</v>
      </c>
      <c r="E23" s="4" t="s">
        <v>57</v>
      </c>
      <c r="F23" s="4" t="s">
        <v>57</v>
      </c>
      <c r="G23" s="12" t="s">
        <v>135</v>
      </c>
    </row>
    <row r="24" spans="1:7">
      <c r="A24" s="4" t="s">
        <v>38</v>
      </c>
      <c r="B24" s="5">
        <v>2</v>
      </c>
      <c r="C24" s="14"/>
      <c r="D24" s="5">
        <v>737819.1</v>
      </c>
      <c r="E24" s="4" t="s">
        <v>57</v>
      </c>
      <c r="F24" s="4" t="s">
        <v>57</v>
      </c>
      <c r="G24" s="12" t="s">
        <v>136</v>
      </c>
    </row>
    <row r="25" spans="1:7">
      <c r="A25" s="4" t="s">
        <v>38</v>
      </c>
      <c r="B25" s="5">
        <v>3</v>
      </c>
      <c r="C25" s="14">
        <v>260702176464</v>
      </c>
      <c r="D25" s="5">
        <v>574474.80000000005</v>
      </c>
      <c r="E25" s="4" t="s">
        <v>57</v>
      </c>
      <c r="F25" s="4" t="s">
        <v>57</v>
      </c>
      <c r="G25" s="12" t="s">
        <v>137</v>
      </c>
    </row>
    <row r="26" spans="1:7">
      <c r="A26" s="4" t="s">
        <v>38</v>
      </c>
      <c r="B26" s="5">
        <v>4</v>
      </c>
      <c r="C26" s="14">
        <v>260802068601</v>
      </c>
      <c r="D26" s="5">
        <v>1891465.9</v>
      </c>
      <c r="E26" s="4" t="s">
        <v>65</v>
      </c>
      <c r="F26" s="8">
        <v>46272</v>
      </c>
      <c r="G26" s="12" t="s">
        <v>138</v>
      </c>
    </row>
    <row r="27" spans="1:7">
      <c r="A27" s="4" t="s">
        <v>38</v>
      </c>
      <c r="B27" s="5">
        <v>5</v>
      </c>
      <c r="C27" s="14"/>
      <c r="D27" s="5">
        <v>5274266.1500000004</v>
      </c>
      <c r="E27" s="4"/>
      <c r="F27" s="5"/>
      <c r="G27" s="6"/>
    </row>
    <row r="28" spans="1:7">
      <c r="A28" s="4" t="s">
        <v>41</v>
      </c>
      <c r="B28" s="5">
        <v>1</v>
      </c>
      <c r="C28" s="14">
        <v>260802087114</v>
      </c>
      <c r="D28" s="5">
        <v>828053.83</v>
      </c>
      <c r="E28" s="4" t="s">
        <v>65</v>
      </c>
      <c r="F28" s="8">
        <v>46274</v>
      </c>
      <c r="G28" s="12" t="s">
        <v>139</v>
      </c>
    </row>
    <row r="29" spans="1:7">
      <c r="A29" s="4" t="s">
        <v>41</v>
      </c>
      <c r="B29" s="5">
        <v>2</v>
      </c>
      <c r="C29" s="14"/>
      <c r="D29" s="5">
        <v>1110858.5900000001</v>
      </c>
      <c r="E29" s="4"/>
      <c r="F29" s="8"/>
      <c r="G29" s="6"/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2" r:id="rId10"/>
    <hyperlink ref="G13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3" r:id="rId19"/>
    <hyperlink ref="G24" r:id="rId20"/>
    <hyperlink ref="G25" r:id="rId21"/>
    <hyperlink ref="G26" r:id="rId22"/>
    <hyperlink ref="G28" r:id="rId23"/>
  </hyperlink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القوائم!$B$1:$B$16</xm:f>
          </x14:formula1>
          <x14:formula2>
            <xm:f>0</xm:f>
          </x14:formula2>
          <xm:sqref>E2:E29 F23:F25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rightToLeft="1" zoomScaleNormal="100" workbookViewId="0">
      <pane ySplit="1" topLeftCell="A5" activePane="bottomLeft" state="frozen"/>
      <selection pane="bottomLeft" activeCell="D17" sqref="D17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43</v>
      </c>
      <c r="B1" s="3" t="s">
        <v>73</v>
      </c>
      <c r="C1" s="3" t="s">
        <v>74</v>
      </c>
      <c r="D1" s="3" t="s">
        <v>75</v>
      </c>
      <c r="E1" s="3" t="s">
        <v>76</v>
      </c>
    </row>
    <row r="2" spans="1:5">
      <c r="A2" s="4" t="s">
        <v>29</v>
      </c>
      <c r="B2" s="5">
        <v>1</v>
      </c>
      <c r="C2" s="5">
        <v>970791.18</v>
      </c>
      <c r="D2" s="4" t="s">
        <v>93</v>
      </c>
      <c r="E2" s="12" t="s">
        <v>144</v>
      </c>
    </row>
    <row r="3" spans="1:5">
      <c r="A3" s="4" t="s">
        <v>33</v>
      </c>
      <c r="B3" s="5">
        <v>1</v>
      </c>
      <c r="C3" s="5">
        <v>-1457.31</v>
      </c>
      <c r="D3" s="4" t="s">
        <v>90</v>
      </c>
      <c r="E3" s="12" t="s">
        <v>143</v>
      </c>
    </row>
    <row r="4" spans="1:5">
      <c r="A4" s="4" t="s">
        <v>33</v>
      </c>
      <c r="B4" s="5">
        <v>2</v>
      </c>
      <c r="C4" s="5">
        <v>-10.61</v>
      </c>
      <c r="D4" s="4" t="s">
        <v>93</v>
      </c>
      <c r="E4" s="12" t="s">
        <v>142</v>
      </c>
    </row>
    <row r="5" spans="1:5">
      <c r="A5" s="4" t="s">
        <v>35</v>
      </c>
      <c r="B5" s="5">
        <v>1</v>
      </c>
      <c r="C5" s="5">
        <v>1159386.6299999999</v>
      </c>
      <c r="D5" s="4" t="s">
        <v>93</v>
      </c>
      <c r="E5" s="12" t="s">
        <v>141</v>
      </c>
    </row>
    <row r="6" spans="1:5">
      <c r="A6" s="4" t="s">
        <v>38</v>
      </c>
      <c r="B6" s="5">
        <v>1</v>
      </c>
      <c r="C6" s="5">
        <v>2274607.21</v>
      </c>
      <c r="D6" s="4" t="s">
        <v>93</v>
      </c>
      <c r="E6" s="12" t="s">
        <v>140</v>
      </c>
    </row>
    <row r="7" spans="1:5">
      <c r="A7" s="4" t="s">
        <v>41</v>
      </c>
      <c r="B7" s="5">
        <v>1</v>
      </c>
      <c r="C7" s="5">
        <v>2233085.79</v>
      </c>
      <c r="D7" s="4" t="s">
        <v>93</v>
      </c>
      <c r="E7" s="12" t="s">
        <v>146</v>
      </c>
    </row>
  </sheetData>
  <hyperlinks>
    <hyperlink ref="E6" r:id="rId1"/>
    <hyperlink ref="E5" r:id="rId2"/>
    <hyperlink ref="E4" r:id="rId3"/>
    <hyperlink ref="E3" r:id="rId4"/>
    <hyperlink ref="E2" r:id="rId5"/>
    <hyperlink ref="E7" r:id="rId6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rightToLeft="1"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25"/>
  <cols>
    <col min="1" max="2" width="14" customWidth="1"/>
    <col min="3" max="3" width="18" customWidth="1"/>
    <col min="4" max="4" width="30" customWidth="1"/>
    <col min="5" max="5" width="28" customWidth="1"/>
  </cols>
  <sheetData>
    <row r="1" spans="1:5">
      <c r="A1" s="3" t="s">
        <v>43</v>
      </c>
      <c r="B1" s="3" t="s">
        <v>77</v>
      </c>
      <c r="C1" s="3" t="s">
        <v>78</v>
      </c>
      <c r="D1" s="3" t="s">
        <v>75</v>
      </c>
      <c r="E1" s="3" t="s">
        <v>76</v>
      </c>
    </row>
    <row r="2" spans="1:5">
      <c r="A2" s="4" t="s">
        <v>29</v>
      </c>
      <c r="B2" s="5">
        <v>1</v>
      </c>
      <c r="C2" s="5">
        <v>1291643.2</v>
      </c>
      <c r="D2" s="4" t="s">
        <v>91</v>
      </c>
      <c r="E2" s="12" t="s">
        <v>145</v>
      </c>
    </row>
    <row r="3" spans="1:5">
      <c r="A3" s="4" t="s">
        <v>33</v>
      </c>
      <c r="B3" s="5">
        <v>1</v>
      </c>
      <c r="C3" s="5">
        <v>2265354.64</v>
      </c>
      <c r="D3" s="4" t="s">
        <v>97</v>
      </c>
      <c r="E3" s="6"/>
    </row>
    <row r="4" spans="1:5">
      <c r="A4" s="4" t="s">
        <v>35</v>
      </c>
      <c r="B4" s="5">
        <v>1</v>
      </c>
      <c r="C4" s="5">
        <v>1104000</v>
      </c>
      <c r="D4" s="4" t="s">
        <v>96</v>
      </c>
      <c r="E4" s="12" t="s">
        <v>108</v>
      </c>
    </row>
  </sheetData>
  <hyperlinks>
    <hyperlink ref="E4" r:id="rId1"/>
    <hyperlink ref="E2" r:id="rId2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rightToLeft="1" zoomScaleNormal="100" workbookViewId="0">
      <pane ySplit="1" topLeftCell="A2" activePane="bottomLeft" state="frozen"/>
      <selection pane="bottomLeft" activeCell="D2" sqref="D2"/>
    </sheetView>
  </sheetViews>
  <sheetFormatPr defaultColWidth="8.6640625" defaultRowHeight="14.25"/>
  <cols>
    <col min="1" max="2" width="14" customWidth="1"/>
    <col min="3" max="3" width="108.06640625" customWidth="1"/>
  </cols>
  <sheetData>
    <row r="1" spans="1:3">
      <c r="A1" s="3" t="s">
        <v>43</v>
      </c>
      <c r="B1" s="3" t="s">
        <v>79</v>
      </c>
      <c r="C1" s="3" t="s">
        <v>80</v>
      </c>
    </row>
    <row r="2" spans="1:3">
      <c r="A2" s="4" t="s">
        <v>29</v>
      </c>
      <c r="B2" s="5"/>
      <c r="C2" s="4" t="s">
        <v>150</v>
      </c>
    </row>
    <row r="3" spans="1:3">
      <c r="A3" s="4" t="s">
        <v>29</v>
      </c>
      <c r="B3" s="5"/>
      <c r="C3" s="4" t="s">
        <v>151</v>
      </c>
    </row>
    <row r="4" spans="1:3">
      <c r="A4" s="4" t="s">
        <v>33</v>
      </c>
      <c r="B4" s="5"/>
      <c r="C4" s="4" t="s">
        <v>152</v>
      </c>
    </row>
    <row r="5" spans="1:3">
      <c r="A5" s="4" t="s">
        <v>33</v>
      </c>
      <c r="B5" s="8">
        <v>46269</v>
      </c>
      <c r="C5" s="4" t="s">
        <v>149</v>
      </c>
    </row>
    <row r="6" spans="1:3">
      <c r="A6" s="4" t="s">
        <v>33</v>
      </c>
      <c r="B6" s="8">
        <v>46269</v>
      </c>
      <c r="C6" s="4" t="s">
        <v>92</v>
      </c>
    </row>
    <row r="7" spans="1:3">
      <c r="A7" s="4" t="s">
        <v>35</v>
      </c>
      <c r="B7" s="8"/>
      <c r="C7" s="4" t="s">
        <v>150</v>
      </c>
    </row>
    <row r="8" spans="1:3">
      <c r="A8" s="4" t="s">
        <v>35</v>
      </c>
      <c r="B8" s="8">
        <v>46276</v>
      </c>
      <c r="C8" s="4" t="s">
        <v>95</v>
      </c>
    </row>
    <row r="9" spans="1:3">
      <c r="A9" s="4" t="s">
        <v>38</v>
      </c>
      <c r="B9" s="5"/>
      <c r="C9" s="4" t="s">
        <v>150</v>
      </c>
    </row>
    <row r="10" spans="1:3">
      <c r="A10" s="4"/>
      <c r="B10" s="5"/>
      <c r="C10" s="4" t="s">
        <v>150</v>
      </c>
    </row>
    <row r="11" spans="1:3">
      <c r="A11" s="4" t="s">
        <v>41</v>
      </c>
      <c r="B11" s="8">
        <v>46273</v>
      </c>
      <c r="C11" s="4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تعليمات</vt:lpstr>
      <vt:lpstr>بيانات_المشاريع</vt:lpstr>
      <vt:lpstr>مستخلصات_ريف</vt:lpstr>
      <vt:lpstr>القوائم</vt:lpstr>
      <vt:lpstr>مستخلصات_اعتماد</vt:lpstr>
      <vt:lpstr>المناقلات</vt:lpstr>
      <vt:lpstr>المستحدثات</vt:lpstr>
      <vt:lpstr>المهام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Turki Alharbi</cp:lastModifiedBy>
  <cp:revision>0</cp:revision>
  <dcterms:created xsi:type="dcterms:W3CDTF">2026-09-08T12:33:06Z</dcterms:created>
  <dcterms:modified xsi:type="dcterms:W3CDTF">2026-09-13T11:03:57Z</dcterms:modified>
  <dc:language>en-US</dc:language>
</cp:coreProperties>
</file>