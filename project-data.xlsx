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ki\Desktop\داشبورد\مستهدف\"/>
    </mc:Choice>
  </mc:AlternateContent>
  <bookViews>
    <workbookView xWindow="0" yWindow="0" windowWidth="19200" windowHeight="7125" tabRatio="854" activeTab="10"/>
  </bookViews>
  <sheets>
    <sheet name="تعليمات" sheetId="1" r:id="rId1"/>
    <sheet name="بيانات_المشاريع" sheetId="2" r:id="rId2"/>
    <sheet name="مستخلصات_ريف" sheetId="3" r:id="rId3"/>
    <sheet name="مستخلصات_اعتماد" sheetId="4" r:id="rId4"/>
    <sheet name="القوائم" sheetId="5" state="hidden" r:id="rId5"/>
    <sheet name="المناقلات" sheetId="6" r:id="rId6"/>
    <sheet name="المستحدثات" sheetId="7" r:id="rId7"/>
    <sheet name="المهام" sheetId="8" r:id="rId8"/>
    <sheet name="التيار_الكهربائي" sheetId="9" r:id="rId9"/>
    <sheet name="المستهدف" sheetId="10" r:id="rId10"/>
    <sheet name="إعدادات_المستهدف" sheetId="11" r:id="rId11"/>
    <sheet name="آلية_العمل" sheetId="12" r:id="rId12"/>
  </sheets>
  <calcPr calcId="0" iterateDelta="1E-4"/>
</workbook>
</file>

<file path=xl/sharedStrings.xml><?xml version="1.0" encoding="utf-8"?>
<sst xmlns="http://schemas.openxmlformats.org/spreadsheetml/2006/main" count="359" uniqueCount="231">
  <si>
    <t>لوحة متابعة مشاريع مراكز الخدمات التسويقية للمنتجات الزراعية</t>
  </si>
  <si>
    <t>كيفية استخدام هذا الملف:</t>
  </si>
  <si>
    <t>1) عدّل البيانات في الأوراق التالية: بيانات_المشاريع، مستخلصات_ريف، مستخلصات_اعتماد، المناقلات، المستحدثات، المهام.</t>
  </si>
  <si>
    <t>2) الخلايا ذات التظليل الأصفر الفاتح هي الخلايا المخصصة للتعديل العام.</t>
  </si>
  <si>
    <t>3) الخلايا ذات التظليل الأخضر الفاتح هي أعمدة الروابط (رابط المستند) — الصقها كرابط ويب كامل يبدأ بـ https:// (مثل رابط من ريف، أو ون درايف، أو قوقل درايف، أو شير بوينت).</t>
  </si>
  <si>
    <t>4) احفظ الملف بصيغة xlsx بعد التعديل.</t>
  </si>
  <si>
    <t>5) افتح ملف لوحة المتابعة (dashboard.html) واضغط زر «تحديث البيانات من ملف إكسل» ثم اختر هذا الملف بعد حفظه.</t>
  </si>
  <si>
    <t>6) ستتحدث اللوحة تلقائيًا بجميع الرسوم البيانية والجداول والروابط دون الحاجة لأي برمجة.</t>
  </si>
  <si>
    <t>ملاحظات هامة:</t>
  </si>
  <si>
    <t>- في ورقة «مستخلصات_ريف» اترك تاريخ أي مرحلة فارغًا إذا لم تصل إليها المعاملة بعد.</t>
  </si>
  <si>
    <t>- في ورقة «مستخلصات_اعتماد» اختر الحالة من القائمة المنسدلة، وأدخل تاريخ دخول المستخلص في هذه الحالة بعمود «تاريخ الحالة الحالية» — ستحسب اللوحة عدد الأيام تلقائيًا حتى تاريخ اليوم.</t>
  </si>
  <si>
    <t>- تأكد أن اسم المشروع في كل الأوراق مطابق تمامًا لاسمه في ورقة «بيانات_المشاريع» (العمود A).</t>
  </si>
  <si>
    <t>- أعمدة الروابط اختيارية: إن تُركت فارغة يظهر رمز المستند باهتًا وغير قابل للنقر في اللوحة.</t>
  </si>
  <si>
    <t>اسم المشروع (مفتاح)</t>
  </si>
  <si>
    <t>الاسم الكامل</t>
  </si>
  <si>
    <t>الاستشاري</t>
  </si>
  <si>
    <t>حالة المشروع</t>
  </si>
  <si>
    <t>رقم العقد</t>
  </si>
  <si>
    <t>تاريخ البداية</t>
  </si>
  <si>
    <t>تاريخ الإيقاف</t>
  </si>
  <si>
    <t>تاريخ الاستئناف</t>
  </si>
  <si>
    <t>مدة التمديد (أيام)</t>
  </si>
  <si>
    <t>تاريخ النهاية</t>
  </si>
  <si>
    <t>قيمة المشروع (ريال)</t>
  </si>
  <si>
    <t>نسبة الإنجاز (%)</t>
  </si>
  <si>
    <t>رابط مستند بداية المشروع</t>
  </si>
  <si>
    <t>رابط مستند إيقاف المشروع</t>
  </si>
  <si>
    <t>رابط مستند استئناف المشروع</t>
  </si>
  <si>
    <t>رابط مستند تمديد المشروع</t>
  </si>
  <si>
    <t>رابط مستند قيمة المشروع</t>
  </si>
  <si>
    <t>مركز جازان</t>
  </si>
  <si>
    <t>إنشاء وتجهيز مركز الخدمات التسويقية للمنتجات الزراعية بمنطقة جازان</t>
  </si>
  <si>
    <t>مدارات</t>
  </si>
  <si>
    <t>متوقف</t>
  </si>
  <si>
    <t>230501170757</t>
  </si>
  <si>
    <t>https://drive.google.com/file/d/1B8txxstdgOKwY2gvw18uY_kz-8Gdp-fn/view?usp=sharing</t>
  </si>
  <si>
    <t>https://drive.google.com/file/d/1_a1bcUrvgPFCthrwX-o7v2aqdpBIZ1_B/view?usp=sharing</t>
  </si>
  <si>
    <t>https://drive.google.com/file/d/1N5q5cyVwf8JCd9011lMFddeSa18MMZjR/view?usp=sharing</t>
  </si>
  <si>
    <t>مركز عسير</t>
  </si>
  <si>
    <t>إنشاء وتجهيز مركز الخدمات التسويقية للمنتجات الزراعية بمنطقة عسير</t>
  </si>
  <si>
    <t>جاري</t>
  </si>
  <si>
    <t>230301108090</t>
  </si>
  <si>
    <t>https://drive.google.com/file/d/14vhbGQwKwItKGhVFUl_kT3g3M93e-C3l/view?usp=sharing</t>
  </si>
  <si>
    <t>https://drive.google.com/file/d/1q5AIm1VqQJfHo5NguuA6UQbaotQ3QozJ/view?usp=sharing</t>
  </si>
  <si>
    <t>https://drive.google.com/file/d/1-cii5zYBZkJ07a0rLICyuHwiWeP8rFas/view?usp=sharing</t>
  </si>
  <si>
    <t>https://drive.google.com/file/d/1f7N1op0Eq2aUvSpdM-TGCMMRr9-X5mVL/view?usp=sharing</t>
  </si>
  <si>
    <t>https://drive.google.com/file/d/1pDnGVol0Stj4ebDo6i0vFBRjEBiWEpun/view?usp=sharing</t>
  </si>
  <si>
    <t>مركز الباحة</t>
  </si>
  <si>
    <t>إنشاء وتجهيز مركز الخدمات التسويقية للمنتجات الزراعية بمنطقة الباحة</t>
  </si>
  <si>
    <t>230301102765</t>
  </si>
  <si>
    <t>https://drive.google.com/file/d/1nARHrgke1O2BEiW9tIusnii-LKwqzD5U/view?usp=sharing</t>
  </si>
  <si>
    <t>https://drive.google.com/file/d/1PymrMki7xMZ9VIMGigMtT7qDyl6Upr9z/view?usp=sharing</t>
  </si>
  <si>
    <t>https://drive.google.com/file/d/1hKpH8veuopPR0hdGnnly4ai3pSGvD6Tl/view?usp=sharing</t>
  </si>
  <si>
    <t>https://drive.google.com/file/d/1U3hBMOJpWuj9LVJb6wOFWWs_SLNnNYV1/view?usp=sharing</t>
  </si>
  <si>
    <t>مركز القصيم</t>
  </si>
  <si>
    <t>إنشاء وتجهيز مركز الخدمات التسويقية للمنتجات الزراعية بمنطقة القصيم</t>
  </si>
  <si>
    <t>المنظور الشامل</t>
  </si>
  <si>
    <t>230501006980</t>
  </si>
  <si>
    <t>https://drive.google.com/file/d/1bE_ykNzdTEqS6It0bCFnIML01-Z83FWb/view?usp=sharing</t>
  </si>
  <si>
    <t>https://drive.google.com/file/d/1NOvEKBn3MXEBZ_yVJ1-9Z1O0Pkv0aH8Z/view?usp=sharing</t>
  </si>
  <si>
    <t>https://drive.google.com/file/d/1ULLAfUdGGLzvnN_VjYMZ6WOfrZlfn6At/view?usp=sharing</t>
  </si>
  <si>
    <t>https://drive.google.com/file/d/1evTvz6TvZtqlsIb6XvJAWgoN6wIhBv-J/view?usp=sharing</t>
  </si>
  <si>
    <t>https://drive.google.com/file/d/1mKpDaFN0c2vohsgeW69CaFX0vF4VZNDs/view?usp=sharing</t>
  </si>
  <si>
    <t>مركز حائل</t>
  </si>
  <si>
    <t>إنشاء وتجهيز مركز الخدمات التسويقية للمنتجات الزراعية بمنطقة حائل</t>
  </si>
  <si>
    <t>230701015615</t>
  </si>
  <si>
    <t>https://drive.google.com/file/d/1s5z8HH1EHfRBKA-53c3iA3hbl1SstCDB/view?usp=sharing</t>
  </si>
  <si>
    <t>https://drive.google.com/file/d/1FlN_PRCd-WPnMuTJxIjFxdQ9A2AHQNZU/view?usp=sharing</t>
  </si>
  <si>
    <t>اسم المشروع</t>
  </si>
  <si>
    <t>رقم المستخلص</t>
  </si>
  <si>
    <t>مبلغ المستخلص (ريال)</t>
  </si>
  <si>
    <t>تاريخ رفع الطلب (ألفا ديم)</t>
  </si>
  <si>
    <t>تاريخ مكتب إدارة المشاريع (ريف)</t>
  </si>
  <si>
    <t>تاريخ مراجعة 1 الاستشاري</t>
  </si>
  <si>
    <t>تاريخ مراجعة استلام الاستشاري (مهندس الموقع)</t>
  </si>
  <si>
    <t>تاريخ مراجعة 2 الاستشاري</t>
  </si>
  <si>
    <t>تاريخ مراجعة إدارة المشاريع (ريف) النهائية</t>
  </si>
  <si>
    <t>رابط المستخلص في ريف</t>
  </si>
  <si>
    <t>رابط الحصر في ريف</t>
  </si>
  <si>
    <t>https://portal.reefpmo.com/project-requests/ce5c1346-474b-4e64-a50f-25815ab4e639/details</t>
  </si>
  <si>
    <t>https://portal.reefpmo.com/project-requests/48691b48-5acf-49bf-a6d4-9cf86fa55b96/details</t>
  </si>
  <si>
    <t>https://portal.reefpmo.com/project-requests/7f9e4d58-95cd-461a-aa7d-f2da52405fd3/details</t>
  </si>
  <si>
    <t>https://portal.reefpmo.com/project-requests/2cabddac-56aa-4b16-b252-282e675107f5/details</t>
  </si>
  <si>
    <t>https://portal.reefpmo.com/project-requests/78bd135c-98fb-4080-8cf1-067b251a8655/details</t>
  </si>
  <si>
    <t>https://portal.reefpmo.com/project-requests/a1a86177-6701-4955-adc9-d499434ca0db/details</t>
  </si>
  <si>
    <t>https://portal.reefpmo.com/project-requests/3f0a56a4-4ce5-4ae9-8757-6dd7560e0d4d/details</t>
  </si>
  <si>
    <t>https://portal.reefpmo.com/project-requests/e8ecdb8c-bd3e-4311-be26-a2c3d0d15389/details</t>
  </si>
  <si>
    <t>https://portal.reefpmo.com/project-requests/ac693ab5-37d7-4e45-8863-76efa1741cb1/details</t>
  </si>
  <si>
    <t>https://portal.reefpmo.com/project-requests/813d48d1-74e7-47c0-82b9-b2823a7bb183/details</t>
  </si>
  <si>
    <t>رقم المطالبة</t>
  </si>
  <si>
    <t>الحالة في منصة اعتماد</t>
  </si>
  <si>
    <t>تاريخ الحالة الحالية</t>
  </si>
  <si>
    <t>رابط مستندات المستخلص</t>
  </si>
  <si>
    <t>تم الصرف</t>
  </si>
  <si>
    <t>https://drive.google.com/file/d/1fumrGa8qHBZoewEo_4ibVDY8F9OopHdU/view?usp=sharing</t>
  </si>
  <si>
    <t>https://drive.google.com/file/d/1v5cXTIdztu5xePwvE7BUfxiVzlZOcU6q/view?usp=sharing</t>
  </si>
  <si>
    <t>https://drive.google.com/file/d/1E6-M4zeXRjXHpJ3yZ7trKob_a_MrTiDb/view?usp=sharing</t>
  </si>
  <si>
    <t>https://drive.google.com/file/d/1_7NKdQkkffslotxBNRcwaWQAwGhw37KP/view?usp=sharing</t>
  </si>
  <si>
    <t>https://drive.google.com/file/d/1cw6LmBH0gwFSLTnMvOLlBnAz4UzcfO5t/view?usp=sharing</t>
  </si>
  <si>
    <t>https://drive.google.com/file/d/1ICb21GefBFWiqUwNaqzvchKPyHCHQBHJ/view?usp=sharing</t>
  </si>
  <si>
    <t>https://drive.google.com/file/d/1LmkxYcsf4Cv709qAQL4ofGKttVQvk2-j/view?usp=sharing</t>
  </si>
  <si>
    <t>https://drive.google.com/file/d/1gFVYsV_5dY36b-Qsy7Z6fkbE_6KEfKo8/view?usp=sharing</t>
  </si>
  <si>
    <t>تحويل أمر الدفع لوزارة المالية</t>
  </si>
  <si>
    <t>https://drive.google.com/file/d/12wW9lGJStBfz5lxPPEZotO8GHpeX3ZgP/view?usp=sharing</t>
  </si>
  <si>
    <t>260902033089</t>
  </si>
  <si>
    <t>https://drive.google.com/file/d/1hnSPBcBH8EmA3BYBta0EjpQPSGQHRb2Z/view?usp=sharing</t>
  </si>
  <si>
    <t>https://drive.google.com/file/d/1ygyKk-ujqAmh1hlnWIYlg5DGL2dHqqt1/view?usp=sharing</t>
  </si>
  <si>
    <t>https://drive.google.com/file/d/1aIcMUN_RjdUIxxVPfk493rUsKmcvQ59f/view?usp=sharing</t>
  </si>
  <si>
    <t>260902103523</t>
  </si>
  <si>
    <t>إرفاق شهادة الإنجاز (قبول الطلب)</t>
  </si>
  <si>
    <t>https://drive.google.com/file/d/1RD4fJUhd2orKZ5yJcdYXvnhJ_TflUGEs/view?usp=sharing</t>
  </si>
  <si>
    <t>https://drive.google.com/file/d/1SFaccaBKkF_krQnF0iJyH_pua8dYXSoJ/view?usp=sharing</t>
  </si>
  <si>
    <t>https://drive.google.com/file/d/1Zb9wrOEGG38ZJUFM1PAsP46G0ABcAQiM/view?usp=sharing</t>
  </si>
  <si>
    <t>https://drive.google.com/file/d/1s18cywprcVoJ5246uJCirorIhLF2Ct6B/view?usp=sharing</t>
  </si>
  <si>
    <t>https://drive.google.com/file/d/1JB7Dxg9u0ZIsAQ2fis1RCfLyJkJt0gOH/view?usp=sharing</t>
  </si>
  <si>
    <t>https://drive.google.com/file/d/1ETMJJaCim3nqn2VjClRgvvxCHdoXG6eX/view?usp=sharing</t>
  </si>
  <si>
    <t>https://drive.google.com/file/d/1eiYyeP89_88-mEqwYfJAu2KMUie_p58Y/view?usp=sharing</t>
  </si>
  <si>
    <t>260902105658</t>
  </si>
  <si>
    <t>سيتم إعادة رفع المطالبة بعد إضافة حساب الوسيط</t>
  </si>
  <si>
    <t>https://drive.google.com/file/d/1MAGUTn-gnSooNF66Uo2MeVzQNJrOowsB/view?usp=sharing</t>
  </si>
  <si>
    <t>https://drive.google.com/file/d/1X7mjKqWPk5-ECdT4YtXZfP2bNy2rQ1ha/view?usp=sharing</t>
  </si>
  <si>
    <t>https://drive.google.com/file/d/1c_pmnuYZqwQYMzbRwzigD6gJdtfNcyox/view?usp=sharing</t>
  </si>
  <si>
    <t>https://drive.google.com/file/d/1m8CJAkDxZiKIl5QXp9SzmiBt5mDo4TBd/view?usp=sharing</t>
  </si>
  <si>
    <t>260802068601</t>
  </si>
  <si>
    <t>https://drive.google.com/file/d/1OCqZ1HProvyCzUfEKxWsht3FYn8fXjLH/view?usp=sharing</t>
  </si>
  <si>
    <t>260902085283</t>
  </si>
  <si>
    <t>https://drive.google.com/file/d/18VlwOWEMsC8AiSR4snvpVIxqY83TtxoJ/view?usp=sharing</t>
  </si>
  <si>
    <t>https://drive.google.com/file/d/1DlMynKHwtQ0gJnfIIRWXUZbr-ScVJ9Xj/view?usp=sharing</t>
  </si>
  <si>
    <t>260902063255</t>
  </si>
  <si>
    <t>تسجيل مطالبة (إرسال الطلب)</t>
  </si>
  <si>
    <t>https://drive.google.com/file/d/1cQiLoAVhq7W_0Jww4HfJqpYTF0SOH29i/view?usp=sharing</t>
  </si>
  <si>
    <t>صك الأرض</t>
  </si>
  <si>
    <t>قرار تخصيص</t>
  </si>
  <si>
    <t>تدقيق المطالبة (قبول الطلب)</t>
  </si>
  <si>
    <t>عقد إيجار</t>
  </si>
  <si>
    <t>اعتماد المطالبة</t>
  </si>
  <si>
    <t>خطاب تسليم الموقع</t>
  </si>
  <si>
    <t>تسجيل أمر صرف (إرسال)</t>
  </si>
  <si>
    <t>اعتماد مدير الإدارة المالية لأمر الصرف</t>
  </si>
  <si>
    <t>اعتماد صاحب الصلاحية النهائي لأمر الصرف</t>
  </si>
  <si>
    <t>اعتماد المراقب المالي لأمر الصرف</t>
  </si>
  <si>
    <t>أمر صرف معتمد - مطالبة معتمدة</t>
  </si>
  <si>
    <t>تسجيل أمر دفع (إرسال)</t>
  </si>
  <si>
    <t>اعتماد مدقق أمر الدفع</t>
  </si>
  <si>
    <t>اعتماد مدير الإدارة المالية لأمر الدفع</t>
  </si>
  <si>
    <t>اعتماد صاحب الصلاحية النهائي لأمر الدفع</t>
  </si>
  <si>
    <t>اعتماد المراقب المالي لأمر الدفع</t>
  </si>
  <si>
    <t>رقم المناقلة</t>
  </si>
  <si>
    <t>مبلغ المناقلة (ريال)</t>
  </si>
  <si>
    <t>الإجراء الحالي</t>
  </si>
  <si>
    <t>رابط المستند</t>
  </si>
  <si>
    <t>بانتظار عكس المناقلة على منصة اعتماد</t>
  </si>
  <si>
    <t>https://drive.google.com/file/d/10TX6uxTy_ZIgBQUhd67FxhF6WtFjMcyY/view?usp=sharing</t>
  </si>
  <si>
    <t>تم عكسها على منصة اعتماد</t>
  </si>
  <si>
    <t>https://drive.google.com/file/d/1_OZVJhxRsUmW9frCUoeElMmithZX2EvH/view?usp=sharing</t>
  </si>
  <si>
    <t>https://drive.google.com/file/d/1_tQc8ArqbcNbUiYfPNruqv3B-ZwKzRNk/view?usp=sharing</t>
  </si>
  <si>
    <t>https://drive.google.com/file/d/1DckjxD9TX_mbavDyQNC7tr2X_xQYpIuN/view?usp=sharing</t>
  </si>
  <si>
    <t>https://drive.google.com/file/d/1rZ_YUd0-kg0nq5JVxuOuBi5990T6Vhs7/view?usp=sharing</t>
  </si>
  <si>
    <t>https://drive.google.com/file/d/1Ts8Pn85Xhn71QYcWYKGml4SZXY6RFBMk/view?usp=sharing</t>
  </si>
  <si>
    <t>رقم المستحدث</t>
  </si>
  <si>
    <t>مبلغ المستحدث (ريال)</t>
  </si>
  <si>
    <t>بانتظار عكس المستحدث على منصة اعتماد</t>
  </si>
  <si>
    <t>https://drive.google.com/file/d/1vw5W2XhyJRwZX7D5FHGy6h6oi8y_6bN_/view?usp=sharing</t>
  </si>
  <si>
    <t>بانتظار تعميد البنود المستحدثة</t>
  </si>
  <si>
    <t>https://drive.google.com/file/d/1HgCfsNZARUJH_izV2yWmvFoMUUpIwpIC/view?usp=sharing</t>
  </si>
  <si>
    <t>تم عكس البنود المستحدثة في منصة اعتماد</t>
  </si>
  <si>
    <t>التاريخ</t>
  </si>
  <si>
    <t xml:space="preserve">المهمة </t>
  </si>
  <si>
    <t>متابعة عكس المناقلة 1 في منصة اعتماد (إدارة المشتريات والعقود)</t>
  </si>
  <si>
    <t>متابعة عكس المستحدث في منصة اعتماد (إدارة المشتريات والعقود)</t>
  </si>
  <si>
    <t>متابعة تعميد المستحدث مع تمديد مدة المشروع 6 اشهر</t>
  </si>
  <si>
    <t>رقم المعاملة (25221980) 1447/12/01، التحديث:  تم ارسال خطاب من ريف الى لجنة فحص العروض بتوضيح ارقام البنود الانشائية للبنود المستحدثة - التحديث: مازال الطلب لم يرسل من اتصالات ريف</t>
  </si>
  <si>
    <t>تجهيز مستخلص 4 مجدي/ عبدالمنصف ورفعه قبل 15 أكتوبر 2026</t>
  </si>
  <si>
    <t>تجهيز مستخلص 9 مجدي/ عبدالمنصف</t>
  </si>
  <si>
    <t>تجهيز مستخلص 6 مجدي/ عبدالمنصف ورفعه 15 أكتوبر 2026</t>
  </si>
  <si>
    <t>متابعة تمديد مدة المشروع 4 اشهر</t>
  </si>
  <si>
    <t xml:space="preserve">تم ارسال خطاب من ريف بطلب تمديد العقد للجنة فحص العروض (482555002) 1448/04/02 </t>
  </si>
  <si>
    <t>الأرض (النوع)</t>
  </si>
  <si>
    <t>رابط مستند الأرض</t>
  </si>
  <si>
    <t>توضيحات</t>
  </si>
  <si>
    <t>رابط مستند التوضيحات</t>
  </si>
  <si>
    <t>رابط مستند الإجراء الحالي</t>
  </si>
  <si>
    <t>الحالة</t>
  </si>
  <si>
    <t>https://drive.google.com/file/d/1VZudYvGZQlnuhmYqXQtVEY81epB01W8N/view?usp=sharing</t>
  </si>
  <si>
    <t>بحسب آخر خطاب تم ارساله لريف بتاريخ 31-08-2025 بتزويدهم بالمواصفات المطلوبة للمشروع:
1- الاحمال 2500 امبير (KVA1500)
2- الجهد 231/400 فولت بتردد 60 هرتز 3 فاز 
وتم الطلب من ريف بتزويدنا بالمتطلبات الانشائية لغرفة المحولات لإكمال إجراءات إيصال التيار الكهربائي</t>
  </si>
  <si>
    <t>https://drive.google.com/file/d/1i4RArKtR0YsGTRDrLqW2C2Uju93zoXJg/view?usp=sharing</t>
  </si>
  <si>
    <t>تم تعديل الاحمال الكهربائية للمشروع الى 2500 امبير في خطاب ريف الموجه لشركة الكهرباء ، وجاري متابعة م. مدثر مع شركة الكهرباء
رقم الخطاب 21089195
التحديث 01-10-2026:
اليوم مدثر سيتوجه لزيارة شركة الكهرباء</t>
  </si>
  <si>
    <t>https://drive.google.com/file/d/15jWt4Am_3-SMmOx5qyublOOVDJZTUsPV/view?usp=sharing</t>
  </si>
  <si>
    <t>قيد المتابعة</t>
  </si>
  <si>
    <t>قرار تخصيص ارض - لايوجد صك-</t>
  </si>
  <si>
    <t>https://drive.google.com/file/d/1_j8l0BkYJBMFNRWLQoi6Cw2ttTv4ec7G/view?usp=sharing</t>
  </si>
  <si>
    <t>بحسب اخر خطاب تم ارساله لريف بتاريخ 15-01-2025 بأن هناك أسباب تعيق إيصال التيار الكهربائي ويتطلب نقل أعمدة التيار الكهربائي الهوائية خارج نطاق المشروع ، قبل البدء بأي إجراءات خاصة بطلب إيصال التيار الكهربائي ، ايضاً تعيين مقاول من العقد الموحد لأعمال التمديدات الخاصة بنطاق شركة الكهرباء</t>
  </si>
  <si>
    <t>https://drive.google.com/file/d/1GHqOUaHGhMhh4hl5EwSyD4xidrEszbyW/view?usp=sharing</t>
  </si>
  <si>
    <t xml:space="preserve">جاري تعديل الاحمال الكهربائية للمشروع الى 1500 ميجاوات في خطاب ريف الموجه لشركة الكهرباء ، وجاري متابعة م. محمد سليمان مع شركة الكهرباء
</t>
  </si>
  <si>
    <t>لم يتم دمج الصكوك</t>
  </si>
  <si>
    <t>https://drive.google.com/file/d/1_e8eJAXD6ta3Tg-S27-FdHRN_PzwoIDS/view?usp=sharing</t>
  </si>
  <si>
    <t>خطاب تفويض من ريف لشركة الفا ديم لإستكمال إجراءات إدخال التيار الكهربائي</t>
  </si>
  <si>
    <t>https://drive.google.com/file/d/1ld2Nof_kK5yPjWYC3Qn8nhUb2Z9A5OCn/view?usp=sharing</t>
  </si>
  <si>
    <t>التحديث 01-10-2026:
ستكون هناك زيارة من م.محمد يحيى لشركة الكهرباء يوم الاحد القادم</t>
  </si>
  <si>
    <t>صك الجزء الغربي والجزء الشرقي - لم يتم تحديث الصك</t>
  </si>
  <si>
    <t>https://drive.google.com/file/d/1lHFnOTkZmym1r1rHv2gO6ReKGEPu3YBI/view?usp=sharing</t>
  </si>
  <si>
    <t>اخر خطاب تم ارساله لريف بتاريخ 02-09-2025 بطلب الصك الالكتروني والقرار المساحي والتفويض</t>
  </si>
  <si>
    <t>https://drive.google.com/file/d/1hfj3eDV5AuWe-_3LBgEQT_wZn57oLvlB/view?usp=sharing</t>
  </si>
  <si>
    <t>تم توفير متطلبات شركة الكهرباء من قبل فرع الوزارة ومن مهندس الموقع وبانتظار استلام خطاب التفويض من الفرع ليتابع م.عبدالرحمن مباشرة أي متطلبات من الكهرباء 
التحديث 01-10-2026:
تم ارسال بالامس متطلبات شركة الكهرباء من قبل فرع الوزارة وسيتواصل اليوم م.عبدالرحمن مع عبدالله الغنيمي مسؤول فرع الوزارة بخصوص التفويض</t>
  </si>
  <si>
    <t>https://drive.google.com/file/d/16Lb8Z9zTRBr8sQ7IfsM9Zm3h0ObNxXX1/view?usp=sharing</t>
  </si>
  <si>
    <t>لايوجد تحديث</t>
  </si>
  <si>
    <t>لم يبدأ</t>
  </si>
  <si>
    <t>المبلغ المستهدف (ريال)</t>
  </si>
  <si>
    <t>مبلغ المستخلص المحقق من المستهدف (ريال)</t>
  </si>
  <si>
    <t>ملاحظات</t>
  </si>
  <si>
    <t>النسبة الدنيا للنطاق (%)</t>
  </si>
  <si>
    <t>النسبة العليا للنطاق (%)</t>
  </si>
  <si>
    <t>البند</t>
  </si>
  <si>
    <t>القيمة</t>
  </si>
  <si>
    <t>عنوان التقرير</t>
  </si>
  <si>
    <t>متابعة المستخلصات والمستهدف المالي قبل إقفال السنة المالية 2026</t>
  </si>
  <si>
    <t>الهدف من التقرير</t>
  </si>
  <si>
    <t>تاريخ إقفال المطالبات</t>
  </si>
  <si>
    <t>2026-10-15</t>
  </si>
  <si>
    <t>النسبة الدنيا للمستخلص القادم (%)</t>
  </si>
  <si>
    <t>النسبة العليا للمستخلص القادم (%)</t>
  </si>
  <si>
    <t>م</t>
  </si>
  <si>
    <t>العنوان</t>
  </si>
  <si>
    <t>الوصف</t>
  </si>
  <si>
    <t>تحديد المبلغ المستهدف</t>
  </si>
  <si>
    <t>إعداد وتقديم المستخلص</t>
  </si>
  <si>
    <t>يُعدّ المستخلص ويُقدَّم في منصة اعتماد قبل تاريخ الإقفال، ويُسجَّل المبلغ المحقق منه في الإكسل.</t>
  </si>
  <si>
    <t>المتابعة حتى الصرف</t>
  </si>
  <si>
    <t xml:space="preserve">يُتابع المستخلص حتى مرحلة تسجيل أمر الدفع </t>
  </si>
  <si>
    <t>يُحدَّد لكل مشروع مبلغ مستخلص نسعى لتحصيله قبل إقفال المطالبات</t>
  </si>
  <si>
    <t>تحديد مبلغ مستخلص مستهدف لكل مشروع (نسبة حد أعلى وحد أدنى من قيمة المشروع) نسعى لتحصيله قبل إقفال المطالبات للسنة المالية 2026 ، وقياس ما تحقق منه، وبيان أثره على المصروف وتحت الصرف والمتبقي من قيمة المشروع.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</si>
</sst>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"/>
    </font>
    <font>
      <b/>
      <sz val="14"/>
      <color rgb="FF2F5D5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FreeSans"/>
      <family val="2"/>
    </font>
    <font>
      <u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FFF6E0"/>
        <bgColor rgb="FFFFFFFF"/>
      </patternFill>
    </fill>
    <fill>
      <patternFill patternType="solid">
        <fgColor rgb="FFEAF2ED"/>
        <bgColor rgb="FFFFF6E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6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14" fontId="0" fillId="3" borderId="1" xfId="0" applyNumberFormat="1" applyFill="1" applyBorder="1" applyAlignment="1">
      <alignment horizontal="center" vertical="center"/>
    </xf>
    <xf numFmtId="0" fontId="5" fillId="4" borderId="1" xfId="1" applyFill="1" applyBorder="1" applyAlignment="1">
      <alignment horizontal="center" vertical="center" wrapText="1"/>
    </xf>
    <xf numFmtId="0" fontId="5" fillId="0" borderId="0" xfId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5" fillId="4" borderId="1" xfId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4" fillId="5" borderId="2" xfId="0" applyFont="1" applyFill="1" applyBorder="1" applyAlignment="1">
      <alignment horizontal="right" vertical="top" wrapText="1"/>
    </xf>
    <xf numFmtId="0" fontId="5" fillId="5" borderId="2" xfId="1" applyFill="1" applyBorder="1" applyAlignment="1">
      <alignment wrapText="1"/>
    </xf>
    <xf numFmtId="0" fontId="5" fillId="0" borderId="2" xfId="1" applyBorder="1" applyAlignment="1">
      <alignment wrapText="1"/>
    </xf>
    <xf numFmtId="0" fontId="0" fillId="5" borderId="2" xfId="0" applyFill="1" applyBorder="1" applyAlignment="1">
      <alignment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5" fillId="7" borderId="1" xfId="1" applyFill="1" applyBorder="1" applyAlignment="1">
      <alignment horizontal="center" vertical="center"/>
    </xf>
    <xf numFmtId="0" fontId="0" fillId="8" borderId="0" xfId="0" applyFill="1"/>
    <xf numFmtId="0" fontId="0" fillId="7" borderId="1" xfId="0" applyFill="1" applyBorder="1" applyAlignment="1">
      <alignment horizontal="center" vertical="center"/>
    </xf>
    <xf numFmtId="0" fontId="5" fillId="8" borderId="0" xfId="1" applyFill="1"/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0"/>
      <rgbColor rgb="FFEAF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DnGVol0Stj4ebDo6i0vFBRjEBiWEpun/view?usp=sharing" TargetMode="External"/><Relationship Id="rId13" Type="http://schemas.openxmlformats.org/officeDocument/2006/relationships/hyperlink" Target="https://drive.google.com/file/d/1bE_ykNzdTEqS6It0bCFnIML01-Z83FWb/view?usp=sharing" TargetMode="External"/><Relationship Id="rId18" Type="http://schemas.openxmlformats.org/officeDocument/2006/relationships/hyperlink" Target="https://drive.google.com/file/d/1s5z8HH1EHfRBKA-53c3iA3hbl1SstCDB/view?usp=sharing" TargetMode="External"/><Relationship Id="rId3" Type="http://schemas.openxmlformats.org/officeDocument/2006/relationships/hyperlink" Target="https://drive.google.com/file/d/1N5q5cyVwf8JCd9011lMFddeSa18MMZjR/view?usp=sharing" TargetMode="External"/><Relationship Id="rId7" Type="http://schemas.openxmlformats.org/officeDocument/2006/relationships/hyperlink" Target="https://drive.google.com/file/d/1f7N1op0Eq2aUvSpdM-TGCMMRr9-X5mVL/view?usp=sharing" TargetMode="External"/><Relationship Id="rId12" Type="http://schemas.openxmlformats.org/officeDocument/2006/relationships/hyperlink" Target="https://drive.google.com/file/d/1U3hBMOJpWuj9LVJb6wOFWWs_SLNnNYV1/view?usp=sharing" TargetMode="External"/><Relationship Id="rId17" Type="http://schemas.openxmlformats.org/officeDocument/2006/relationships/hyperlink" Target="https://drive.google.com/file/d/1mKpDaFN0c2vohsgeW69CaFX0vF4VZNDs/view?usp=sharing" TargetMode="External"/><Relationship Id="rId2" Type="http://schemas.openxmlformats.org/officeDocument/2006/relationships/hyperlink" Target="https://drive.google.com/file/d/1_a1bcUrvgPFCthrwX-o7v2aqdpBIZ1_B/view?usp=sharing" TargetMode="External"/><Relationship Id="rId16" Type="http://schemas.openxmlformats.org/officeDocument/2006/relationships/hyperlink" Target="https://drive.google.com/file/d/1evTvz6TvZtqlsIb6XvJAWgoN6wIhBv-J/view?usp=sharing" TargetMode="External"/><Relationship Id="rId1" Type="http://schemas.openxmlformats.org/officeDocument/2006/relationships/hyperlink" Target="https://drive.google.com/file/d/1B8txxstdgOKwY2gvw18uY_kz-8Gdp-fn/view?usp=sharing" TargetMode="External"/><Relationship Id="rId6" Type="http://schemas.openxmlformats.org/officeDocument/2006/relationships/hyperlink" Target="https://drive.google.com/file/d/1-cii5zYBZkJ07a0rLICyuHwiWeP8rFas/view?usp=sharing" TargetMode="External"/><Relationship Id="rId11" Type="http://schemas.openxmlformats.org/officeDocument/2006/relationships/hyperlink" Target="https://drive.google.com/file/d/1hKpH8veuopPR0hdGnnly4ai3pSGvD6Tl/view?usp=sharing" TargetMode="External"/><Relationship Id="rId5" Type="http://schemas.openxmlformats.org/officeDocument/2006/relationships/hyperlink" Target="https://drive.google.com/file/d/1q5AIm1VqQJfHo5NguuA6UQbaotQ3QozJ/view?usp=sharing" TargetMode="External"/><Relationship Id="rId15" Type="http://schemas.openxmlformats.org/officeDocument/2006/relationships/hyperlink" Target="https://drive.google.com/file/d/1ULLAfUdGGLzvnN_VjYMZ6WOfrZlfn6At/view?usp=sharing" TargetMode="External"/><Relationship Id="rId10" Type="http://schemas.openxmlformats.org/officeDocument/2006/relationships/hyperlink" Target="https://drive.google.com/file/d/1PymrMki7xMZ9VIMGigMtT7qDyl6Upr9z/view?usp=sharing" TargetMode="External"/><Relationship Id="rId19" Type="http://schemas.openxmlformats.org/officeDocument/2006/relationships/hyperlink" Target="https://drive.google.com/file/d/1FlN_PRCd-WPnMuTJxIjFxdQ9A2AHQNZU/view?usp=sharing" TargetMode="External"/><Relationship Id="rId4" Type="http://schemas.openxmlformats.org/officeDocument/2006/relationships/hyperlink" Target="https://drive.google.com/file/d/14vhbGQwKwItKGhVFUl_kT3g3M93e-C3l/view?usp=sharing" TargetMode="External"/><Relationship Id="rId9" Type="http://schemas.openxmlformats.org/officeDocument/2006/relationships/hyperlink" Target="https://drive.google.com/file/d/1nARHrgke1O2BEiW9tIusnii-LKwqzD5U/view?usp=sharing" TargetMode="External"/><Relationship Id="rId14" Type="http://schemas.openxmlformats.org/officeDocument/2006/relationships/hyperlink" Target="https://drive.google.com/file/d/1NOvEKBn3MXEBZ_yVJ1-9Z1O0Pkv0aH8Z/view?usp=shar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reefpmo.com/project-requests/e8ecdb8c-bd3e-4311-be26-a2c3d0d15389/details" TargetMode="External"/><Relationship Id="rId3" Type="http://schemas.openxmlformats.org/officeDocument/2006/relationships/hyperlink" Target="https://portal.reefpmo.com/project-requests/7f9e4d58-95cd-461a-aa7d-f2da52405fd3/details" TargetMode="External"/><Relationship Id="rId7" Type="http://schemas.openxmlformats.org/officeDocument/2006/relationships/hyperlink" Target="https://portal.reefpmo.com/project-requests/3f0a56a4-4ce5-4ae9-8757-6dd7560e0d4d/details" TargetMode="External"/><Relationship Id="rId2" Type="http://schemas.openxmlformats.org/officeDocument/2006/relationships/hyperlink" Target="https://portal.reefpmo.com/project-requests/48691b48-5acf-49bf-a6d4-9cf86fa55b96/details" TargetMode="External"/><Relationship Id="rId1" Type="http://schemas.openxmlformats.org/officeDocument/2006/relationships/hyperlink" Target="https://portal.reefpmo.com/project-requests/ce5c1346-474b-4e64-a50f-25815ab4e639/details" TargetMode="External"/><Relationship Id="rId6" Type="http://schemas.openxmlformats.org/officeDocument/2006/relationships/hyperlink" Target="https://portal.reefpmo.com/project-requests/a1a86177-6701-4955-adc9-d499434ca0db/details" TargetMode="External"/><Relationship Id="rId5" Type="http://schemas.openxmlformats.org/officeDocument/2006/relationships/hyperlink" Target="https://portal.reefpmo.com/project-requests/78bd135c-98fb-4080-8cf1-067b251a8655/details" TargetMode="External"/><Relationship Id="rId10" Type="http://schemas.openxmlformats.org/officeDocument/2006/relationships/hyperlink" Target="https://portal.reefpmo.com/project-requests/813d48d1-74e7-47c0-82b9-b2823a7bb183/details" TargetMode="External"/><Relationship Id="rId4" Type="http://schemas.openxmlformats.org/officeDocument/2006/relationships/hyperlink" Target="https://portal.reefpmo.com/project-requests/2cabddac-56aa-4b16-b252-282e675107f5/details" TargetMode="External"/><Relationship Id="rId9" Type="http://schemas.openxmlformats.org/officeDocument/2006/relationships/hyperlink" Target="https://portal.reefpmo.com/project-requests/ac693ab5-37d7-4e45-8863-76efa1741cb1/detail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FVYsV_5dY36b-Qsy7Z6fkbE_6KEfKo8/view?usp=sharing" TargetMode="External"/><Relationship Id="rId13" Type="http://schemas.openxmlformats.org/officeDocument/2006/relationships/hyperlink" Target="https://drive.google.com/file/d/1RD4fJUhd2orKZ5yJcdYXvnhJ_TflUGEs/view?usp=sharing" TargetMode="External"/><Relationship Id="rId18" Type="http://schemas.openxmlformats.org/officeDocument/2006/relationships/hyperlink" Target="https://drive.google.com/file/d/1ETMJJaCim3nqn2VjClRgvvxCHdoXG6eX/view?usp=sharing" TargetMode="External"/><Relationship Id="rId26" Type="http://schemas.openxmlformats.org/officeDocument/2006/relationships/hyperlink" Target="https://drive.google.com/file/d/1DlMynKHwtQ0gJnfIIRWXUZbr-ScVJ9Xj/view?usp=sharing" TargetMode="External"/><Relationship Id="rId3" Type="http://schemas.openxmlformats.org/officeDocument/2006/relationships/hyperlink" Target="https://drive.google.com/file/d/1E6-M4zeXRjXHpJ3yZ7trKob_a_MrTiDb/view?usp=sharing" TargetMode="External"/><Relationship Id="rId21" Type="http://schemas.openxmlformats.org/officeDocument/2006/relationships/hyperlink" Target="https://drive.google.com/file/d/1X7mjKqWPk5-ECdT4YtXZfP2bNy2rQ1ha/view?usp=sharing" TargetMode="External"/><Relationship Id="rId7" Type="http://schemas.openxmlformats.org/officeDocument/2006/relationships/hyperlink" Target="https://drive.google.com/file/d/1LmkxYcsf4Cv709qAQL4ofGKttVQvk2-j/view?usp=sharing" TargetMode="External"/><Relationship Id="rId12" Type="http://schemas.openxmlformats.org/officeDocument/2006/relationships/hyperlink" Target="https://drive.google.com/file/d/1aIcMUN_RjdUIxxVPfk493rUsKmcvQ59f/view?usp=sharing" TargetMode="External"/><Relationship Id="rId17" Type="http://schemas.openxmlformats.org/officeDocument/2006/relationships/hyperlink" Target="https://drive.google.com/file/d/1JB7Dxg9u0ZIsAQ2fis1RCfLyJkJt0gOH/view?usp=sharing" TargetMode="External"/><Relationship Id="rId25" Type="http://schemas.openxmlformats.org/officeDocument/2006/relationships/hyperlink" Target="https://drive.google.com/file/d/18VlwOWEMsC8AiSR4snvpVIxqY83TtxoJ/view?usp=sharing" TargetMode="External"/><Relationship Id="rId2" Type="http://schemas.openxmlformats.org/officeDocument/2006/relationships/hyperlink" Target="https://drive.google.com/file/d/1v5cXTIdztu5xePwvE7BUfxiVzlZOcU6q/view?usp=sharing" TargetMode="External"/><Relationship Id="rId16" Type="http://schemas.openxmlformats.org/officeDocument/2006/relationships/hyperlink" Target="https://drive.google.com/file/d/1s18cywprcVoJ5246uJCirorIhLF2Ct6B/view?usp=sharing" TargetMode="External"/><Relationship Id="rId20" Type="http://schemas.openxmlformats.org/officeDocument/2006/relationships/hyperlink" Target="https://drive.google.com/file/d/1MAGUTn-gnSooNF66Uo2MeVzQNJrOowsB/view?usp=sharing" TargetMode="External"/><Relationship Id="rId1" Type="http://schemas.openxmlformats.org/officeDocument/2006/relationships/hyperlink" Target="https://drive.google.com/file/d/1fumrGa8qHBZoewEo_4ibVDY8F9OopHdU/view?usp=sharing" TargetMode="External"/><Relationship Id="rId6" Type="http://schemas.openxmlformats.org/officeDocument/2006/relationships/hyperlink" Target="https://drive.google.com/file/d/1ICb21GefBFWiqUwNaqzvchKPyHCHQBHJ/view?usp=sharing" TargetMode="External"/><Relationship Id="rId11" Type="http://schemas.openxmlformats.org/officeDocument/2006/relationships/hyperlink" Target="https://drive.google.com/file/d/1ygyKk-ujqAmh1hlnWIYlg5DGL2dHqqt1/view?usp=sharing" TargetMode="External"/><Relationship Id="rId24" Type="http://schemas.openxmlformats.org/officeDocument/2006/relationships/hyperlink" Target="https://drive.google.com/file/d/1OCqZ1HProvyCzUfEKxWsht3FYn8fXjLH/view?usp=sharing" TargetMode="External"/><Relationship Id="rId5" Type="http://schemas.openxmlformats.org/officeDocument/2006/relationships/hyperlink" Target="https://drive.google.com/file/d/1cw6LmBH0gwFSLTnMvOLlBnAz4UzcfO5t/view?usp=sharing" TargetMode="External"/><Relationship Id="rId15" Type="http://schemas.openxmlformats.org/officeDocument/2006/relationships/hyperlink" Target="https://drive.google.com/file/d/1Zb9wrOEGG38ZJUFM1PAsP46G0ABcAQiM/view?usp=sharing" TargetMode="External"/><Relationship Id="rId23" Type="http://schemas.openxmlformats.org/officeDocument/2006/relationships/hyperlink" Target="https://drive.google.com/file/d/1m8CJAkDxZiKIl5QXp9SzmiBt5mDo4TBd/view?usp=sharing" TargetMode="External"/><Relationship Id="rId10" Type="http://schemas.openxmlformats.org/officeDocument/2006/relationships/hyperlink" Target="https://drive.google.com/file/d/1hnSPBcBH8EmA3BYBta0EjpQPSGQHRb2Z/view?usp=sharing" TargetMode="External"/><Relationship Id="rId19" Type="http://schemas.openxmlformats.org/officeDocument/2006/relationships/hyperlink" Target="https://drive.google.com/file/d/1eiYyeP89_88-mEqwYfJAu2KMUie_p58Y/view?usp=sharing" TargetMode="External"/><Relationship Id="rId4" Type="http://schemas.openxmlformats.org/officeDocument/2006/relationships/hyperlink" Target="https://drive.google.com/file/d/1_7NKdQkkffslotxBNRcwaWQAwGhw37KP/view?usp=sharing" TargetMode="External"/><Relationship Id="rId9" Type="http://schemas.openxmlformats.org/officeDocument/2006/relationships/hyperlink" Target="https://drive.google.com/file/d/12wW9lGJStBfz5lxPPEZotO8GHpeX3ZgP/view?usp=sharing" TargetMode="External"/><Relationship Id="rId14" Type="http://schemas.openxmlformats.org/officeDocument/2006/relationships/hyperlink" Target="https://drive.google.com/file/d/1SFaccaBKkF_krQnF0iJyH_pua8dYXSoJ/view?usp=sharing" TargetMode="External"/><Relationship Id="rId22" Type="http://schemas.openxmlformats.org/officeDocument/2006/relationships/hyperlink" Target="https://drive.google.com/file/d/1c_pmnuYZqwQYMzbRwzigD6gJdtfNcyox/view?usp=sharing" TargetMode="External"/><Relationship Id="rId27" Type="http://schemas.openxmlformats.org/officeDocument/2006/relationships/hyperlink" Target="https://drive.google.com/file/d/1cQiLoAVhq7W_0Jww4HfJqpYTF0SOH29i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_tQc8ArqbcNbUiYfPNruqv3B-ZwKzRNk/view?usp=sharing" TargetMode="External"/><Relationship Id="rId2" Type="http://schemas.openxmlformats.org/officeDocument/2006/relationships/hyperlink" Target="https://drive.google.com/file/d/1_OZVJhxRsUmW9frCUoeElMmithZX2EvH/view?usp=sharing" TargetMode="External"/><Relationship Id="rId1" Type="http://schemas.openxmlformats.org/officeDocument/2006/relationships/hyperlink" Target="https://drive.google.com/file/d/10TX6uxTy_ZIgBQUhd67FxhF6WtFjMcyY/view?usp=sharing" TargetMode="External"/><Relationship Id="rId6" Type="http://schemas.openxmlformats.org/officeDocument/2006/relationships/hyperlink" Target="https://drive.google.com/file/d/1Ts8Pn85Xhn71QYcWYKGml4SZXY6RFBMk/view?usp=sharing" TargetMode="External"/><Relationship Id="rId5" Type="http://schemas.openxmlformats.org/officeDocument/2006/relationships/hyperlink" Target="https://drive.google.com/file/d/1rZ_YUd0-kg0nq5JVxuOuBi5990T6Vhs7/view?usp=sharing" TargetMode="External"/><Relationship Id="rId4" Type="http://schemas.openxmlformats.org/officeDocument/2006/relationships/hyperlink" Target="https://drive.google.com/file/d/1DckjxD9TX_mbavDyQNC7tr2X_xQYpIuN/view?usp=sharin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hKpH8veuopPR0hdGnnly4ai3pSGvD6Tl/view?usp=sharing" TargetMode="External"/><Relationship Id="rId2" Type="http://schemas.openxmlformats.org/officeDocument/2006/relationships/hyperlink" Target="https://drive.google.com/file/d/1HgCfsNZARUJH_izV2yWmvFoMUUpIwpIC/view?usp=sharing" TargetMode="External"/><Relationship Id="rId1" Type="http://schemas.openxmlformats.org/officeDocument/2006/relationships/hyperlink" Target="https://drive.google.com/file/d/1vw5W2XhyJRwZX7D5FHGy6h6oi8y_6bN_/view?usp=sharing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HFnOTkZmym1r1rHv2gO6ReKGEPu3YBI/view?usp=sharing" TargetMode="External"/><Relationship Id="rId3" Type="http://schemas.openxmlformats.org/officeDocument/2006/relationships/hyperlink" Target="https://drive.google.com/file/d/15jWt4Am_3-SMmOx5qyublOOVDJZTUsPV/view?usp=sharing" TargetMode="External"/><Relationship Id="rId7" Type="http://schemas.openxmlformats.org/officeDocument/2006/relationships/hyperlink" Target="https://drive.google.com/file/d/1ld2Nof_kK5yPjWYC3Qn8nhUb2Z9A5OCn/view?usp=sharing" TargetMode="External"/><Relationship Id="rId2" Type="http://schemas.openxmlformats.org/officeDocument/2006/relationships/hyperlink" Target="https://drive.google.com/file/d/1i4RArKtR0YsGTRDrLqW2C2Uju93zoXJg/view?usp=sharing" TargetMode="External"/><Relationship Id="rId1" Type="http://schemas.openxmlformats.org/officeDocument/2006/relationships/hyperlink" Target="https://drive.google.com/file/d/1VZudYvGZQlnuhmYqXQtVEY81epB01W8N/view?usp=sharing" TargetMode="External"/><Relationship Id="rId6" Type="http://schemas.openxmlformats.org/officeDocument/2006/relationships/hyperlink" Target="https://drive.google.com/file/d/1_e8eJAXD6ta3Tg-S27-FdHRN_PzwoIDS/view?usp=sharing" TargetMode="External"/><Relationship Id="rId5" Type="http://schemas.openxmlformats.org/officeDocument/2006/relationships/hyperlink" Target="https://drive.google.com/file/d/1GHqOUaHGhMhh4hl5EwSyD4xidrEszbyW/view?usp=sharing" TargetMode="External"/><Relationship Id="rId10" Type="http://schemas.openxmlformats.org/officeDocument/2006/relationships/hyperlink" Target="https://drive.google.com/file/d/16Lb8Z9zTRBr8sQ7IfsM9Zm3h0ObNxXX1/view?usp=sharing" TargetMode="External"/><Relationship Id="rId4" Type="http://schemas.openxmlformats.org/officeDocument/2006/relationships/hyperlink" Target="https://drive.google.com/file/d/1_j8l0BkYJBMFNRWLQoi6Cw2ttTv4ec7G/view?usp=sharing" TargetMode="External"/><Relationship Id="rId9" Type="http://schemas.openxmlformats.org/officeDocument/2006/relationships/hyperlink" Target="https://drive.google.com/file/d/1hfj3eDV5AuWe-_3LBgEQT_wZn57oLvl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"/>
  <sheetViews>
    <sheetView rightToLeft="1" topLeftCell="A2" zoomScaleNormal="100" workbookViewId="0">
      <selection activeCell="E2" sqref="E2"/>
    </sheetView>
  </sheetViews>
  <sheetFormatPr defaultColWidth="8.6640625" defaultRowHeight="14.25"/>
  <cols>
    <col min="1" max="1" width="3" customWidth="1"/>
    <col min="2" max="2" width="100" customWidth="1"/>
  </cols>
  <sheetData>
    <row r="2" spans="2:2" ht="17.649999999999999" customHeight="1">
      <c r="B2" s="1" t="s">
        <v>0</v>
      </c>
    </row>
    <row r="4" spans="2:2">
      <c r="B4" s="2" t="s">
        <v>1</v>
      </c>
    </row>
    <row r="5" spans="2:2">
      <c r="B5" s="2" t="s">
        <v>2</v>
      </c>
    </row>
    <row r="6" spans="2:2">
      <c r="B6" s="2" t="s">
        <v>3</v>
      </c>
    </row>
    <row r="7" spans="2:2">
      <c r="B7" s="2" t="s">
        <v>4</v>
      </c>
    </row>
    <row r="8" spans="2:2">
      <c r="B8" s="2" t="s">
        <v>5</v>
      </c>
    </row>
    <row r="9" spans="2:2">
      <c r="B9" s="2" t="s">
        <v>6</v>
      </c>
    </row>
    <row r="10" spans="2:2">
      <c r="B10" s="2" t="s">
        <v>7</v>
      </c>
    </row>
    <row r="11" spans="2:2">
      <c r="B11" s="2"/>
    </row>
    <row r="12" spans="2:2">
      <c r="B12" s="2" t="s">
        <v>8</v>
      </c>
    </row>
    <row r="13" spans="2:2">
      <c r="B13" s="2" t="s">
        <v>9</v>
      </c>
    </row>
    <row r="14" spans="2:2">
      <c r="B14" s="2" t="s">
        <v>10</v>
      </c>
    </row>
    <row r="15" spans="2:2">
      <c r="B15" s="2" t="s">
        <v>11</v>
      </c>
    </row>
    <row r="16" spans="2:2">
      <c r="B16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rightToLeft="1" zoomScaleNormal="100" workbookViewId="0">
      <pane ySplit="1" topLeftCell="A2" activePane="bottomLeft" state="frozen"/>
      <selection pane="bottomLeft" activeCell="C3" sqref="C3"/>
    </sheetView>
  </sheetViews>
  <sheetFormatPr defaultColWidth="8.6640625" defaultRowHeight="14.25"/>
  <cols>
    <col min="1" max="1" width="16" customWidth="1"/>
    <col min="2" max="2" width="24.73046875" customWidth="1"/>
    <col min="3" max="3" width="18" customWidth="1"/>
    <col min="4" max="4" width="14" customWidth="1"/>
    <col min="5" max="5" width="13.59765625" bestFit="1" customWidth="1"/>
    <col min="9" max="9" width="16" customWidth="1"/>
    <col min="10" max="10" width="14" customWidth="1"/>
    <col min="11" max="11" width="18" customWidth="1"/>
    <col min="12" max="12" width="16" customWidth="1"/>
    <col min="13" max="13" width="28" customWidth="1"/>
  </cols>
  <sheetData>
    <row r="1" spans="1:17" ht="41.65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7" ht="57" customHeight="1">
      <c r="A2" s="4" t="s">
        <v>30</v>
      </c>
      <c r="B2" s="4" t="s">
        <v>31</v>
      </c>
      <c r="C2" s="4" t="s">
        <v>32</v>
      </c>
      <c r="D2" s="4" t="s">
        <v>33</v>
      </c>
      <c r="E2" s="12" t="s">
        <v>34</v>
      </c>
      <c r="F2" s="7">
        <v>45567</v>
      </c>
      <c r="G2" s="7">
        <v>45890</v>
      </c>
      <c r="H2" s="5"/>
      <c r="I2" s="5"/>
      <c r="J2" s="5"/>
      <c r="K2" s="5">
        <v>25255534.379999999</v>
      </c>
      <c r="L2" s="5">
        <v>50</v>
      </c>
      <c r="M2" s="8" t="s">
        <v>35</v>
      </c>
      <c r="N2" s="8" t="s">
        <v>36</v>
      </c>
      <c r="O2" s="8"/>
      <c r="P2" s="10" t="s">
        <v>37</v>
      </c>
      <c r="Q2" s="8" t="s">
        <v>37</v>
      </c>
    </row>
    <row r="3" spans="1:17" ht="57" customHeight="1">
      <c r="A3" s="4" t="s">
        <v>38</v>
      </c>
      <c r="B3" s="4" t="s">
        <v>39</v>
      </c>
      <c r="C3" s="4" t="s">
        <v>32</v>
      </c>
      <c r="D3" s="4" t="s">
        <v>40</v>
      </c>
      <c r="E3" s="12" t="s">
        <v>41</v>
      </c>
      <c r="F3" s="7">
        <v>45356</v>
      </c>
      <c r="G3" s="7">
        <v>45622</v>
      </c>
      <c r="H3" s="7">
        <v>46237</v>
      </c>
      <c r="I3" s="5">
        <v>660</v>
      </c>
      <c r="J3" s="7">
        <v>46381</v>
      </c>
      <c r="K3" s="5">
        <v>22998532.079999998</v>
      </c>
      <c r="L3" s="5">
        <v>40</v>
      </c>
      <c r="M3" s="8" t="s">
        <v>42</v>
      </c>
      <c r="N3" s="8" t="s">
        <v>43</v>
      </c>
      <c r="O3" s="8" t="s">
        <v>44</v>
      </c>
      <c r="P3" s="8" t="s">
        <v>45</v>
      </c>
      <c r="Q3" s="8" t="s">
        <v>46</v>
      </c>
    </row>
    <row r="4" spans="1:17" ht="42.75" customHeight="1">
      <c r="A4" s="4" t="s">
        <v>47</v>
      </c>
      <c r="B4" s="4" t="s">
        <v>48</v>
      </c>
      <c r="C4" s="4" t="s">
        <v>32</v>
      </c>
      <c r="D4" s="4" t="s">
        <v>33</v>
      </c>
      <c r="E4" s="12" t="s">
        <v>49</v>
      </c>
      <c r="F4" s="7">
        <v>45673</v>
      </c>
      <c r="G4" s="7">
        <v>46197</v>
      </c>
      <c r="H4" s="5"/>
      <c r="I4" s="5">
        <v>180</v>
      </c>
      <c r="J4" s="5"/>
      <c r="K4" s="5">
        <v>24104000</v>
      </c>
      <c r="L4" s="5">
        <v>40</v>
      </c>
      <c r="M4" s="8" t="s">
        <v>50</v>
      </c>
      <c r="N4" s="8" t="s">
        <v>51</v>
      </c>
      <c r="O4" s="10" t="s">
        <v>52</v>
      </c>
      <c r="P4" s="8" t="s">
        <v>52</v>
      </c>
      <c r="Q4" s="8" t="s">
        <v>53</v>
      </c>
    </row>
    <row r="5" spans="1:17" ht="57" customHeight="1">
      <c r="A5" s="4" t="s">
        <v>54</v>
      </c>
      <c r="B5" s="4" t="s">
        <v>55</v>
      </c>
      <c r="C5" s="4" t="s">
        <v>56</v>
      </c>
      <c r="D5" s="4" t="s">
        <v>40</v>
      </c>
      <c r="E5" s="12" t="s">
        <v>57</v>
      </c>
      <c r="F5" s="7">
        <v>45162</v>
      </c>
      <c r="G5" s="7">
        <v>45262</v>
      </c>
      <c r="H5" s="7">
        <v>46160</v>
      </c>
      <c r="I5" s="5">
        <v>943</v>
      </c>
      <c r="J5" s="7">
        <v>46470</v>
      </c>
      <c r="K5" s="5">
        <v>25274607.210000001</v>
      </c>
      <c r="L5" s="5">
        <v>40</v>
      </c>
      <c r="M5" s="8" t="s">
        <v>58</v>
      </c>
      <c r="N5" s="8" t="s">
        <v>59</v>
      </c>
      <c r="O5" s="8" t="s">
        <v>60</v>
      </c>
      <c r="P5" s="8" t="s">
        <v>61</v>
      </c>
      <c r="Q5" s="8" t="s">
        <v>62</v>
      </c>
    </row>
    <row r="6" spans="1:17" ht="57" customHeight="1">
      <c r="A6" s="4" t="s">
        <v>63</v>
      </c>
      <c r="B6" s="4" t="s">
        <v>64</v>
      </c>
      <c r="C6" s="4" t="s">
        <v>56</v>
      </c>
      <c r="D6" s="4" t="s">
        <v>40</v>
      </c>
      <c r="E6" s="12" t="s">
        <v>65</v>
      </c>
      <c r="F6" s="7">
        <v>46041</v>
      </c>
      <c r="G6" s="5"/>
      <c r="H6" s="5"/>
      <c r="I6" s="5"/>
      <c r="J6" s="7">
        <v>46405</v>
      </c>
      <c r="K6" s="5">
        <v>25210660.789999999</v>
      </c>
      <c r="L6" s="5">
        <v>20</v>
      </c>
      <c r="M6" s="8" t="s">
        <v>66</v>
      </c>
      <c r="N6" s="10"/>
      <c r="O6" s="10"/>
      <c r="P6" s="10" t="s">
        <v>67</v>
      </c>
      <c r="Q6" s="8" t="s">
        <v>67</v>
      </c>
    </row>
  </sheetData>
  <dataValidations count="1">
    <dataValidation type="list" sqref="D2:D6">
      <formula1>"جاري,متوقف"</formula1>
      <formula2>0</formula2>
    </dataValidation>
  </dataValidations>
  <hyperlinks>
    <hyperlink ref="L2" r:id="rId1" display="https://drive.google.com/file/d/1B8txxstdgOKwY2gvw18uY_kz-8Gdp-fn/view?usp=sharing"/>
    <hyperlink ref="M2" r:id="rId2"/>
    <hyperlink ref="P2" r:id="rId3"/>
    <hyperlink ref="L3" r:id="rId4" display="https://drive.google.com/file/d/14vhbGQwKwItKGhVFUl_kT3g3M93e-C3l/view?usp=sharing"/>
    <hyperlink ref="M3" r:id="rId5"/>
    <hyperlink ref="N3" r:id="rId6"/>
    <hyperlink ref="O3" r:id="rId7"/>
    <hyperlink ref="P3" r:id="rId8"/>
    <hyperlink ref="L4" r:id="rId9" display="https://drive.google.com/file/d/1nARHrgke1O2BEiW9tIusnii-LKwqzD5U/view?usp=sharing"/>
    <hyperlink ref="M4" r:id="rId10"/>
    <hyperlink ref="O4" r:id="rId11"/>
    <hyperlink ref="P4" r:id="rId12"/>
    <hyperlink ref="L5" r:id="rId13" display="https://drive.google.com/file/d/1bE_ykNzdTEqS6It0bCFnIML01-Z83FWb/view?usp=sharing"/>
    <hyperlink ref="M5" r:id="rId14"/>
    <hyperlink ref="N5" r:id="rId15"/>
    <hyperlink ref="O5" r:id="rId16"/>
    <hyperlink ref="P5" r:id="rId17"/>
    <hyperlink ref="L6" r:id="rId18" display="https://drive.google.com/file/d/1s5z8HH1EHfRBKA-53c3iA3hbl1SstCDB/view?usp=sharing"/>
    <hyperlink ref="P6" r:id="rId19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rightToLeft="1" topLeftCell="D1" zoomScaleNormal="100" workbookViewId="0">
      <pane ySplit="1" topLeftCell="A3" activePane="bottomLeft" state="frozen"/>
      <selection pane="bottomLeft" activeCell="G9" sqref="G9"/>
    </sheetView>
  </sheetViews>
  <sheetFormatPr defaultColWidth="8.6640625" defaultRowHeight="14.25"/>
  <cols>
    <col min="1" max="1" width="14" style="13" customWidth="1"/>
    <col min="2" max="2" width="12" style="13" customWidth="1"/>
    <col min="3" max="4" width="18" style="13" customWidth="1"/>
    <col min="5" max="5" width="20" style="13" customWidth="1"/>
    <col min="6" max="6" width="18" style="13" customWidth="1"/>
    <col min="7" max="7" width="26" style="13" customWidth="1"/>
    <col min="8" max="8" width="18" style="13" customWidth="1"/>
    <col min="9" max="11" width="26" style="13" customWidth="1"/>
    <col min="12" max="12" width="8.6640625" style="13" customWidth="1"/>
    <col min="13" max="16384" width="8.6640625" style="13"/>
  </cols>
  <sheetData>
    <row r="1" spans="1:11" ht="27.75" customHeight="1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</row>
    <row r="2" spans="1:11" ht="57" customHeight="1">
      <c r="A2" s="14" t="s">
        <v>30</v>
      </c>
      <c r="B2" s="15">
        <v>10</v>
      </c>
      <c r="C2" s="15">
        <v>4936942.4000000004</v>
      </c>
      <c r="D2" s="16">
        <v>46266</v>
      </c>
      <c r="E2" s="16">
        <v>46266</v>
      </c>
      <c r="F2" s="16">
        <v>46267</v>
      </c>
      <c r="G2" s="16">
        <v>46272</v>
      </c>
      <c r="H2" s="16">
        <v>46272</v>
      </c>
      <c r="I2" s="16">
        <v>46272</v>
      </c>
      <c r="J2" s="8" t="s">
        <v>79</v>
      </c>
      <c r="K2" s="9" t="s">
        <v>80</v>
      </c>
    </row>
    <row r="3" spans="1:11" ht="57" customHeight="1">
      <c r="A3" s="14" t="s">
        <v>38</v>
      </c>
      <c r="B3" s="15">
        <v>3</v>
      </c>
      <c r="C3" s="15">
        <v>5497905.1200000001</v>
      </c>
      <c r="D3" s="16">
        <v>46238</v>
      </c>
      <c r="E3" s="16">
        <v>46238</v>
      </c>
      <c r="F3" s="16">
        <v>46238</v>
      </c>
      <c r="G3" s="16">
        <v>46238</v>
      </c>
      <c r="H3" s="16">
        <v>46238</v>
      </c>
      <c r="I3" s="16">
        <v>46238</v>
      </c>
      <c r="J3" s="8" t="s">
        <v>81</v>
      </c>
      <c r="K3" s="8" t="s">
        <v>82</v>
      </c>
    </row>
    <row r="4" spans="1:11" ht="57" customHeight="1">
      <c r="A4" s="14" t="s">
        <v>47</v>
      </c>
      <c r="B4" s="15">
        <v>8</v>
      </c>
      <c r="C4" s="15">
        <v>5077174.25</v>
      </c>
      <c r="D4" s="16">
        <v>46274</v>
      </c>
      <c r="E4" s="16">
        <v>46274</v>
      </c>
      <c r="F4" s="16">
        <v>46274</v>
      </c>
      <c r="G4" s="16">
        <v>46274</v>
      </c>
      <c r="H4" s="16">
        <v>46274</v>
      </c>
      <c r="I4" s="16">
        <v>46274</v>
      </c>
      <c r="J4" s="8" t="s">
        <v>83</v>
      </c>
      <c r="K4" s="8" t="s">
        <v>84</v>
      </c>
    </row>
    <row r="5" spans="1:11" ht="57" customHeight="1">
      <c r="A5" s="14" t="s">
        <v>54</v>
      </c>
      <c r="B5" s="15">
        <v>5</v>
      </c>
      <c r="C5" s="15">
        <v>5274266.1500000004</v>
      </c>
      <c r="D5" s="16">
        <v>46275</v>
      </c>
      <c r="E5" s="16">
        <v>46275</v>
      </c>
      <c r="F5" s="16">
        <v>46275</v>
      </c>
      <c r="G5" s="16">
        <v>46275</v>
      </c>
      <c r="H5" s="16">
        <v>46275</v>
      </c>
      <c r="I5" s="16">
        <v>46276</v>
      </c>
      <c r="J5" s="8" t="s">
        <v>85</v>
      </c>
      <c r="K5" s="8" t="s">
        <v>86</v>
      </c>
    </row>
    <row r="6" spans="1:11" ht="57" customHeight="1">
      <c r="A6" s="14" t="s">
        <v>63</v>
      </c>
      <c r="B6" s="15">
        <v>3</v>
      </c>
      <c r="C6" s="17">
        <v>664905.16</v>
      </c>
      <c r="D6" s="16">
        <v>46294</v>
      </c>
      <c r="E6" s="16">
        <v>46297</v>
      </c>
      <c r="F6" s="16">
        <v>45932</v>
      </c>
      <c r="G6" s="16">
        <v>46300</v>
      </c>
      <c r="H6" s="16"/>
      <c r="I6" s="16"/>
      <c r="J6" s="9" t="s">
        <v>87</v>
      </c>
      <c r="K6" s="9" t="s">
        <v>88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rightToLeft="1" zoomScaleNormal="100" workbookViewId="0">
      <pane ySplit="1" topLeftCell="A13" activePane="bottomLeft" state="frozen"/>
      <selection pane="bottomLeft" activeCell="E30" sqref="E30"/>
    </sheetView>
  </sheetViews>
  <sheetFormatPr defaultColWidth="8.6640625" defaultRowHeight="14.25"/>
  <cols>
    <col min="1" max="1" width="14" customWidth="1"/>
    <col min="2" max="2" width="12" customWidth="1"/>
    <col min="3" max="3" width="18" customWidth="1"/>
    <col min="4" max="4" width="14.6640625" customWidth="1"/>
    <col min="5" max="5" width="40" customWidth="1"/>
    <col min="6" max="6" width="18" customWidth="1"/>
    <col min="7" max="7" width="28" customWidth="1"/>
  </cols>
  <sheetData>
    <row r="1" spans="1:7">
      <c r="A1" s="3" t="s">
        <v>68</v>
      </c>
      <c r="B1" s="3" t="s">
        <v>69</v>
      </c>
      <c r="C1" s="3" t="s">
        <v>70</v>
      </c>
      <c r="D1" s="3" t="s">
        <v>89</v>
      </c>
      <c r="E1" s="3" t="s">
        <v>90</v>
      </c>
      <c r="F1" s="3" t="s">
        <v>91</v>
      </c>
      <c r="G1" s="3" t="s">
        <v>92</v>
      </c>
    </row>
    <row r="2" spans="1:7">
      <c r="A2" s="4" t="s">
        <v>30</v>
      </c>
      <c r="B2" s="5">
        <v>1</v>
      </c>
      <c r="C2" s="5">
        <v>524423.48</v>
      </c>
      <c r="D2" s="18"/>
      <c r="E2" s="4" t="s">
        <v>93</v>
      </c>
      <c r="F2" s="7">
        <v>46023</v>
      </c>
      <c r="G2" s="11" t="s">
        <v>94</v>
      </c>
    </row>
    <row r="3" spans="1:7">
      <c r="A3" s="4" t="s">
        <v>30</v>
      </c>
      <c r="B3" s="5">
        <v>2</v>
      </c>
      <c r="C3" s="5">
        <v>598669.88</v>
      </c>
      <c r="D3" s="18"/>
      <c r="E3" s="4" t="s">
        <v>93</v>
      </c>
      <c r="F3" s="7">
        <v>46023</v>
      </c>
      <c r="G3" s="11" t="s">
        <v>95</v>
      </c>
    </row>
    <row r="4" spans="1:7">
      <c r="A4" s="4" t="s">
        <v>30</v>
      </c>
      <c r="B4" s="5">
        <v>3</v>
      </c>
      <c r="C4" s="5">
        <v>1426602.6</v>
      </c>
      <c r="D4" s="18"/>
      <c r="E4" s="4" t="s">
        <v>93</v>
      </c>
      <c r="F4" s="7">
        <v>46023</v>
      </c>
      <c r="G4" s="11" t="s">
        <v>96</v>
      </c>
    </row>
    <row r="5" spans="1:7">
      <c r="A5" s="4" t="s">
        <v>30</v>
      </c>
      <c r="B5" s="5">
        <v>4</v>
      </c>
      <c r="C5" s="5">
        <v>392689.25</v>
      </c>
      <c r="D5" s="18"/>
      <c r="E5" s="4" t="s">
        <v>93</v>
      </c>
      <c r="F5" s="7">
        <v>46023</v>
      </c>
      <c r="G5" s="11" t="s">
        <v>97</v>
      </c>
    </row>
    <row r="6" spans="1:7">
      <c r="A6" s="4" t="s">
        <v>30</v>
      </c>
      <c r="B6" s="5">
        <v>5</v>
      </c>
      <c r="C6" s="5">
        <v>352176</v>
      </c>
      <c r="D6" s="18"/>
      <c r="E6" s="4" t="s">
        <v>93</v>
      </c>
      <c r="F6" s="7">
        <v>46023</v>
      </c>
      <c r="G6" s="11" t="s">
        <v>98</v>
      </c>
    </row>
    <row r="7" spans="1:7">
      <c r="A7" s="4" t="s">
        <v>30</v>
      </c>
      <c r="B7" s="5">
        <v>6</v>
      </c>
      <c r="C7" s="5">
        <v>537444.93999999994</v>
      </c>
      <c r="D7" s="18"/>
      <c r="E7" s="4" t="s">
        <v>93</v>
      </c>
      <c r="F7" s="7">
        <v>46023</v>
      </c>
      <c r="G7" s="11" t="s">
        <v>99</v>
      </c>
    </row>
    <row r="8" spans="1:7">
      <c r="A8" s="4" t="s">
        <v>30</v>
      </c>
      <c r="B8" s="5">
        <v>7</v>
      </c>
      <c r="C8" s="5">
        <v>593042.69999999995</v>
      </c>
      <c r="D8" s="18"/>
      <c r="E8" s="4" t="s">
        <v>93</v>
      </c>
      <c r="F8" s="7">
        <v>46023</v>
      </c>
      <c r="G8" s="11" t="s">
        <v>100</v>
      </c>
    </row>
    <row r="9" spans="1:7">
      <c r="A9" s="4" t="s">
        <v>30</v>
      </c>
      <c r="B9" s="5">
        <v>8</v>
      </c>
      <c r="C9" s="5">
        <v>923980.9</v>
      </c>
      <c r="D9" s="18"/>
      <c r="E9" s="4" t="s">
        <v>93</v>
      </c>
      <c r="F9" s="7">
        <v>46023</v>
      </c>
      <c r="G9" s="11" t="s">
        <v>101</v>
      </c>
    </row>
    <row r="10" spans="1:7" s="30" customFormat="1">
      <c r="A10" s="25" t="s">
        <v>30</v>
      </c>
      <c r="B10" s="26">
        <v>9</v>
      </c>
      <c r="C10" s="26">
        <v>1967626.35</v>
      </c>
      <c r="D10" s="27"/>
      <c r="E10" s="25" t="s">
        <v>102</v>
      </c>
      <c r="F10" s="28">
        <v>46272</v>
      </c>
      <c r="G10" s="29" t="s">
        <v>103</v>
      </c>
    </row>
    <row r="11" spans="1:7" s="30" customFormat="1">
      <c r="A11" s="25" t="s">
        <v>30</v>
      </c>
      <c r="B11" s="26">
        <v>10</v>
      </c>
      <c r="C11" s="26">
        <v>4936942.4000000004</v>
      </c>
      <c r="D11" s="27" t="s">
        <v>104</v>
      </c>
      <c r="E11" s="25" t="s">
        <v>102</v>
      </c>
      <c r="F11" s="28">
        <v>46295</v>
      </c>
      <c r="G11" s="29" t="s">
        <v>105</v>
      </c>
    </row>
    <row r="12" spans="1:7">
      <c r="A12" s="4" t="s">
        <v>38</v>
      </c>
      <c r="B12" s="5">
        <v>1</v>
      </c>
      <c r="C12" s="5">
        <v>2153887.79</v>
      </c>
      <c r="D12" s="18"/>
      <c r="E12" s="4" t="s">
        <v>93</v>
      </c>
      <c r="F12" s="7">
        <v>46023</v>
      </c>
      <c r="G12" s="11" t="s">
        <v>106</v>
      </c>
    </row>
    <row r="13" spans="1:7">
      <c r="A13" s="4" t="s">
        <v>38</v>
      </c>
      <c r="B13" s="5">
        <v>2</v>
      </c>
      <c r="C13" s="5">
        <v>1770714.23</v>
      </c>
      <c r="D13" s="18"/>
      <c r="E13" s="4" t="s">
        <v>93</v>
      </c>
      <c r="F13" s="7">
        <v>46023</v>
      </c>
      <c r="G13" s="11" t="s">
        <v>107</v>
      </c>
    </row>
    <row r="14" spans="1:7" s="30" customFormat="1">
      <c r="A14" s="25" t="s">
        <v>38</v>
      </c>
      <c r="B14" s="26">
        <v>3</v>
      </c>
      <c r="C14" s="26">
        <v>5497905.1200000001</v>
      </c>
      <c r="D14" s="27" t="s">
        <v>108</v>
      </c>
      <c r="E14" s="25" t="s">
        <v>109</v>
      </c>
      <c r="F14" s="28">
        <v>46300</v>
      </c>
      <c r="G14" s="31"/>
    </row>
    <row r="15" spans="1:7">
      <c r="A15" s="4" t="s">
        <v>47</v>
      </c>
      <c r="B15" s="5">
        <v>1</v>
      </c>
      <c r="C15" s="5">
        <v>20305.689999999999</v>
      </c>
      <c r="D15" s="18"/>
      <c r="E15" s="4" t="s">
        <v>93</v>
      </c>
      <c r="F15" s="7">
        <v>46023</v>
      </c>
      <c r="G15" s="11" t="s">
        <v>110</v>
      </c>
    </row>
    <row r="16" spans="1:7">
      <c r="A16" s="4" t="s">
        <v>47</v>
      </c>
      <c r="B16" s="5">
        <v>2</v>
      </c>
      <c r="C16" s="5">
        <v>149789.57</v>
      </c>
      <c r="D16" s="18"/>
      <c r="E16" s="4" t="s">
        <v>93</v>
      </c>
      <c r="F16" s="7">
        <v>46023</v>
      </c>
      <c r="G16" s="11" t="s">
        <v>111</v>
      </c>
    </row>
    <row r="17" spans="1:7">
      <c r="A17" s="4" t="s">
        <v>47</v>
      </c>
      <c r="B17" s="5">
        <v>3</v>
      </c>
      <c r="C17" s="5">
        <v>254014.1</v>
      </c>
      <c r="D17" s="18"/>
      <c r="E17" s="4" t="s">
        <v>93</v>
      </c>
      <c r="F17" s="7">
        <v>46023</v>
      </c>
      <c r="G17" s="11" t="s">
        <v>112</v>
      </c>
    </row>
    <row r="18" spans="1:7">
      <c r="A18" s="4" t="s">
        <v>47</v>
      </c>
      <c r="B18" s="5">
        <v>4</v>
      </c>
      <c r="C18" s="5">
        <v>1317129.67</v>
      </c>
      <c r="D18" s="18"/>
      <c r="E18" s="4" t="s">
        <v>93</v>
      </c>
      <c r="F18" s="7">
        <v>46023</v>
      </c>
      <c r="G18" s="11" t="s">
        <v>113</v>
      </c>
    </row>
    <row r="19" spans="1:7">
      <c r="A19" s="4" t="s">
        <v>47</v>
      </c>
      <c r="B19" s="5">
        <v>5</v>
      </c>
      <c r="C19" s="5">
        <v>326492.99</v>
      </c>
      <c r="D19" s="18"/>
      <c r="E19" s="4" t="s">
        <v>93</v>
      </c>
      <c r="F19" s="7">
        <v>46023</v>
      </c>
      <c r="G19" s="11" t="s">
        <v>114</v>
      </c>
    </row>
    <row r="20" spans="1:7">
      <c r="A20" s="4" t="s">
        <v>47</v>
      </c>
      <c r="B20" s="5">
        <v>6</v>
      </c>
      <c r="C20" s="5">
        <v>1815207.98</v>
      </c>
      <c r="D20" s="18"/>
      <c r="E20" s="4" t="s">
        <v>93</v>
      </c>
      <c r="F20" s="7">
        <v>46023</v>
      </c>
      <c r="G20" s="11" t="s">
        <v>115</v>
      </c>
    </row>
    <row r="21" spans="1:7">
      <c r="A21" s="4" t="s">
        <v>47</v>
      </c>
      <c r="B21" s="5">
        <v>7</v>
      </c>
      <c r="C21" s="5">
        <v>1863006.96</v>
      </c>
      <c r="D21" s="18"/>
      <c r="E21" s="4" t="s">
        <v>93</v>
      </c>
      <c r="F21" s="7">
        <v>46286</v>
      </c>
      <c r="G21" s="11" t="s">
        <v>116</v>
      </c>
    </row>
    <row r="22" spans="1:7" s="30" customFormat="1">
      <c r="A22" s="25" t="s">
        <v>47</v>
      </c>
      <c r="B22" s="26">
        <v>8</v>
      </c>
      <c r="C22" s="26">
        <v>5077174.25</v>
      </c>
      <c r="D22" s="27" t="s">
        <v>117</v>
      </c>
      <c r="E22" s="25" t="s">
        <v>118</v>
      </c>
      <c r="F22" s="28">
        <v>46297</v>
      </c>
      <c r="G22" s="32" t="s">
        <v>119</v>
      </c>
    </row>
    <row r="23" spans="1:7">
      <c r="A23" s="4" t="s">
        <v>54</v>
      </c>
      <c r="B23" s="5">
        <v>1</v>
      </c>
      <c r="C23" s="5">
        <v>497941.68</v>
      </c>
      <c r="D23" s="18"/>
      <c r="E23" s="4" t="s">
        <v>93</v>
      </c>
      <c r="F23" s="4" t="s">
        <v>93</v>
      </c>
      <c r="G23" s="11" t="s">
        <v>120</v>
      </c>
    </row>
    <row r="24" spans="1:7">
      <c r="A24" s="4" t="s">
        <v>54</v>
      </c>
      <c r="B24" s="5">
        <v>2</v>
      </c>
      <c r="C24" s="5">
        <v>737819.1</v>
      </c>
      <c r="D24" s="18"/>
      <c r="E24" s="4" t="s">
        <v>93</v>
      </c>
      <c r="F24" s="4" t="s">
        <v>93</v>
      </c>
      <c r="G24" s="11" t="s">
        <v>121</v>
      </c>
    </row>
    <row r="25" spans="1:7">
      <c r="A25" s="4" t="s">
        <v>54</v>
      </c>
      <c r="B25" s="5">
        <v>3</v>
      </c>
      <c r="C25" s="5">
        <v>574474.80000000005</v>
      </c>
      <c r="D25" s="18"/>
      <c r="E25" s="4" t="s">
        <v>93</v>
      </c>
      <c r="F25" s="4" t="s">
        <v>93</v>
      </c>
      <c r="G25" s="11" t="s">
        <v>122</v>
      </c>
    </row>
    <row r="26" spans="1:7" s="30" customFormat="1">
      <c r="A26" s="25" t="s">
        <v>54</v>
      </c>
      <c r="B26" s="26">
        <v>4</v>
      </c>
      <c r="C26" s="26">
        <v>1891465.9</v>
      </c>
      <c r="D26" s="27" t="s">
        <v>123</v>
      </c>
      <c r="E26" s="25" t="s">
        <v>102</v>
      </c>
      <c r="F26" s="28">
        <v>46295</v>
      </c>
      <c r="G26" s="29" t="s">
        <v>124</v>
      </c>
    </row>
    <row r="27" spans="1:7" s="30" customFormat="1">
      <c r="A27" s="25" t="s">
        <v>54</v>
      </c>
      <c r="B27" s="26">
        <v>5</v>
      </c>
      <c r="C27" s="26">
        <v>5274266.1500000004</v>
      </c>
      <c r="D27" s="27" t="s">
        <v>125</v>
      </c>
      <c r="E27" s="25" t="s">
        <v>109</v>
      </c>
      <c r="F27" s="28">
        <v>46300</v>
      </c>
      <c r="G27" s="32" t="s">
        <v>126</v>
      </c>
    </row>
    <row r="28" spans="1:7" s="30" customFormat="1">
      <c r="A28" s="25" t="s">
        <v>63</v>
      </c>
      <c r="B28" s="26">
        <v>1</v>
      </c>
      <c r="C28" s="26">
        <v>828053.83</v>
      </c>
      <c r="D28" s="27"/>
      <c r="E28" s="25" t="s">
        <v>102</v>
      </c>
      <c r="F28" s="28">
        <v>46281</v>
      </c>
      <c r="G28" s="29" t="s">
        <v>127</v>
      </c>
    </row>
    <row r="29" spans="1:7" s="30" customFormat="1">
      <c r="A29" s="25" t="s">
        <v>63</v>
      </c>
      <c r="B29" s="26">
        <v>2</v>
      </c>
      <c r="C29" s="26">
        <v>1110858.5900000001</v>
      </c>
      <c r="D29" s="27" t="s">
        <v>128</v>
      </c>
      <c r="E29" s="25" t="s">
        <v>129</v>
      </c>
      <c r="F29" s="28">
        <v>46300</v>
      </c>
      <c r="G29" s="32" t="s">
        <v>130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القوائم!$B$1:$B$16</xm:f>
          </x14:formula1>
          <xm:sqref>E2:E200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Normal="100" workbookViewId="0"/>
  </sheetViews>
  <sheetFormatPr defaultColWidth="8.6640625" defaultRowHeight="14.25"/>
  <sheetData>
    <row r="1" spans="1:3">
      <c r="A1" s="6" t="s">
        <v>40</v>
      </c>
      <c r="B1" s="6" t="s">
        <v>129</v>
      </c>
      <c r="C1" t="s">
        <v>131</v>
      </c>
    </row>
    <row r="2" spans="1:3">
      <c r="A2" s="6" t="s">
        <v>33</v>
      </c>
      <c r="B2" s="6" t="s">
        <v>109</v>
      </c>
      <c r="C2" t="s">
        <v>132</v>
      </c>
    </row>
    <row r="3" spans="1:3">
      <c r="B3" s="6" t="s">
        <v>133</v>
      </c>
      <c r="C3" t="s">
        <v>134</v>
      </c>
    </row>
    <row r="4" spans="1:3">
      <c r="B4" s="6" t="s">
        <v>135</v>
      </c>
      <c r="C4" t="s">
        <v>136</v>
      </c>
    </row>
    <row r="5" spans="1:3">
      <c r="B5" s="6" t="s">
        <v>137</v>
      </c>
    </row>
    <row r="6" spans="1:3">
      <c r="B6" s="6" t="s">
        <v>138</v>
      </c>
    </row>
    <row r="7" spans="1:3">
      <c r="B7" s="6" t="s">
        <v>139</v>
      </c>
    </row>
    <row r="8" spans="1:3">
      <c r="B8" s="6" t="s">
        <v>140</v>
      </c>
    </row>
    <row r="9" spans="1:3">
      <c r="B9" s="6" t="s">
        <v>141</v>
      </c>
    </row>
    <row r="10" spans="1:3">
      <c r="B10" s="6" t="s">
        <v>142</v>
      </c>
    </row>
    <row r="11" spans="1:3">
      <c r="B11" s="6" t="s">
        <v>143</v>
      </c>
    </row>
    <row r="12" spans="1:3">
      <c r="B12" s="6" t="s">
        <v>144</v>
      </c>
    </row>
    <row r="13" spans="1:3">
      <c r="B13" s="6" t="s">
        <v>145</v>
      </c>
    </row>
    <row r="14" spans="1:3">
      <c r="B14" s="6" t="s">
        <v>146</v>
      </c>
    </row>
    <row r="15" spans="1:3">
      <c r="B15" s="6" t="s">
        <v>102</v>
      </c>
    </row>
    <row r="16" spans="1:3">
      <c r="B16" s="6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rightToLeft="1" zoomScaleNormal="100" workbookViewId="0">
      <pane ySplit="1" topLeftCell="A2" activePane="bottomLeft" state="frozen"/>
      <selection pane="bottomLeft" activeCell="E7" sqref="E7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68</v>
      </c>
      <c r="B1" s="3" t="s">
        <v>147</v>
      </c>
      <c r="C1" s="3" t="s">
        <v>148</v>
      </c>
      <c r="D1" s="3" t="s">
        <v>149</v>
      </c>
      <c r="E1" s="3" t="s">
        <v>150</v>
      </c>
    </row>
    <row r="2" spans="1:5">
      <c r="A2" s="4" t="s">
        <v>30</v>
      </c>
      <c r="B2" s="5">
        <v>1</v>
      </c>
      <c r="C2" s="5">
        <v>970791.18</v>
      </c>
      <c r="D2" s="4" t="s">
        <v>151</v>
      </c>
      <c r="E2" s="11" t="s">
        <v>152</v>
      </c>
    </row>
    <row r="3" spans="1:5">
      <c r="A3" s="4" t="s">
        <v>38</v>
      </c>
      <c r="B3" s="5">
        <v>1</v>
      </c>
      <c r="C3" s="5">
        <v>-1457.31</v>
      </c>
      <c r="D3" s="4" t="s">
        <v>153</v>
      </c>
      <c r="E3" s="11" t="s">
        <v>154</v>
      </c>
    </row>
    <row r="4" spans="1:5">
      <c r="A4" s="4" t="s">
        <v>38</v>
      </c>
      <c r="B4" s="5">
        <v>2</v>
      </c>
      <c r="C4" s="5">
        <v>-10.61</v>
      </c>
      <c r="D4" s="4" t="s">
        <v>153</v>
      </c>
      <c r="E4" s="11" t="s">
        <v>155</v>
      </c>
    </row>
    <row r="5" spans="1:5">
      <c r="A5" s="4" t="s">
        <v>47</v>
      </c>
      <c r="B5" s="5">
        <v>1</v>
      </c>
      <c r="C5" s="5">
        <v>1159386.6299999999</v>
      </c>
      <c r="D5" s="4" t="s">
        <v>153</v>
      </c>
      <c r="E5" s="11" t="s">
        <v>156</v>
      </c>
    </row>
    <row r="6" spans="1:5">
      <c r="A6" s="4" t="s">
        <v>54</v>
      </c>
      <c r="B6" s="5">
        <v>1</v>
      </c>
      <c r="C6" s="5">
        <v>2274607.21</v>
      </c>
      <c r="D6" s="4" t="s">
        <v>151</v>
      </c>
      <c r="E6" s="11" t="s">
        <v>157</v>
      </c>
    </row>
    <row r="7" spans="1:5">
      <c r="A7" s="4" t="s">
        <v>63</v>
      </c>
      <c r="B7" s="5">
        <v>1</v>
      </c>
      <c r="C7" s="5">
        <v>2233085.79</v>
      </c>
      <c r="D7" s="4" t="s">
        <v>151</v>
      </c>
      <c r="E7" s="11" t="s">
        <v>158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rightToLeft="1" zoomScaleNormal="100" workbookViewId="0">
      <pane ySplit="1" topLeftCell="A2" activePane="bottomLeft" state="frozen"/>
      <selection pane="bottomLeft" activeCell="D9" sqref="D9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68</v>
      </c>
      <c r="B1" s="3" t="s">
        <v>159</v>
      </c>
      <c r="C1" s="3" t="s">
        <v>160</v>
      </c>
      <c r="D1" s="3" t="s">
        <v>149</v>
      </c>
      <c r="E1" s="3" t="s">
        <v>150</v>
      </c>
    </row>
    <row r="2" spans="1:5">
      <c r="A2" s="4" t="s">
        <v>30</v>
      </c>
      <c r="B2" s="5">
        <v>1</v>
      </c>
      <c r="C2" s="5">
        <v>1291643.2</v>
      </c>
      <c r="D2" s="4" t="s">
        <v>161</v>
      </c>
      <c r="E2" s="11" t="s">
        <v>162</v>
      </c>
    </row>
    <row r="3" spans="1:5">
      <c r="A3" s="4" t="s">
        <v>38</v>
      </c>
      <c r="B3" s="5">
        <v>1</v>
      </c>
      <c r="C3" s="5">
        <v>2265354.64</v>
      </c>
      <c r="D3" s="4" t="s">
        <v>163</v>
      </c>
      <c r="E3" s="11" t="s">
        <v>164</v>
      </c>
    </row>
    <row r="4" spans="1:5">
      <c r="A4" s="4" t="s">
        <v>47</v>
      </c>
      <c r="B4" s="5">
        <v>1</v>
      </c>
      <c r="C4" s="5">
        <v>1104000</v>
      </c>
      <c r="D4" s="4" t="s">
        <v>165</v>
      </c>
      <c r="E4" s="11" t="s">
        <v>52</v>
      </c>
    </row>
  </sheetData>
  <hyperlinks>
    <hyperlink ref="E2" r:id="rId1"/>
    <hyperlink ref="E3" r:id="rId2"/>
    <hyperlink ref="E4" r:id="rId3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zoomScaleNormal="100" workbookViewId="0">
      <pane ySplit="1" topLeftCell="A2" activePane="bottomLeft" state="frozen"/>
      <selection pane="bottomLeft" activeCell="D13" sqref="D13"/>
    </sheetView>
  </sheetViews>
  <sheetFormatPr defaultColWidth="8.6640625" defaultRowHeight="14.25"/>
  <cols>
    <col min="1" max="2" width="14" style="13" customWidth="1"/>
    <col min="3" max="3" width="75.19921875" style="13" customWidth="1"/>
    <col min="4" max="4" width="60" style="13" customWidth="1"/>
    <col min="5" max="5" width="8.6640625" style="13" customWidth="1"/>
    <col min="6" max="16384" width="8.6640625" style="13"/>
  </cols>
  <sheetData>
    <row r="1" spans="1:4">
      <c r="A1" s="3" t="s">
        <v>68</v>
      </c>
      <c r="B1" s="3" t="s">
        <v>166</v>
      </c>
      <c r="C1" s="3" t="s">
        <v>167</v>
      </c>
      <c r="D1" s="3" t="s">
        <v>149</v>
      </c>
    </row>
    <row r="2" spans="1:4">
      <c r="A2" s="14" t="s">
        <v>30</v>
      </c>
      <c r="B2" s="16">
        <v>46251</v>
      </c>
      <c r="C2" s="14" t="s">
        <v>168</v>
      </c>
      <c r="D2" s="14"/>
    </row>
    <row r="3" spans="1:4">
      <c r="A3" s="14" t="s">
        <v>30</v>
      </c>
      <c r="B3" s="16">
        <v>46265</v>
      </c>
      <c r="C3" s="14" t="s">
        <v>169</v>
      </c>
      <c r="D3" s="14"/>
    </row>
    <row r="4" spans="1:4" ht="40.5" customHeight="1">
      <c r="A4" s="14" t="s">
        <v>38</v>
      </c>
      <c r="B4" s="16">
        <v>46160</v>
      </c>
      <c r="C4" s="14" t="s">
        <v>170</v>
      </c>
      <c r="D4" s="14" t="s">
        <v>171</v>
      </c>
    </row>
    <row r="5" spans="1:4">
      <c r="A5" s="14" t="s">
        <v>38</v>
      </c>
      <c r="B5" s="16">
        <v>46300</v>
      </c>
      <c r="C5" s="14" t="s">
        <v>172</v>
      </c>
      <c r="D5" s="14"/>
    </row>
    <row r="6" spans="1:4">
      <c r="A6" s="14" t="s">
        <v>47</v>
      </c>
      <c r="B6" s="16">
        <v>46300</v>
      </c>
      <c r="C6" s="14" t="s">
        <v>173</v>
      </c>
      <c r="D6" s="14"/>
    </row>
    <row r="7" spans="1:4">
      <c r="A7" s="14" t="s">
        <v>54</v>
      </c>
      <c r="B7" s="16">
        <v>46245</v>
      </c>
      <c r="C7" s="14" t="s">
        <v>168</v>
      </c>
      <c r="D7" s="14"/>
    </row>
    <row r="8" spans="1:4">
      <c r="A8" s="14" t="s">
        <v>54</v>
      </c>
      <c r="B8" s="16">
        <v>46300</v>
      </c>
      <c r="C8" s="14" t="s">
        <v>174</v>
      </c>
      <c r="D8" s="14"/>
    </row>
    <row r="9" spans="1:4">
      <c r="A9" s="14" t="s">
        <v>63</v>
      </c>
      <c r="B9" s="16">
        <v>46252</v>
      </c>
      <c r="C9" s="14" t="s">
        <v>168</v>
      </c>
      <c r="D9" s="14"/>
    </row>
    <row r="10" spans="1:4" ht="27" customHeight="1">
      <c r="A10" s="14" t="s">
        <v>63</v>
      </c>
      <c r="B10" s="16">
        <v>46273</v>
      </c>
      <c r="C10" s="14" t="s">
        <v>175</v>
      </c>
      <c r="D10" s="14" t="s">
        <v>176</v>
      </c>
    </row>
    <row r="11" spans="1:4">
      <c r="A11" s="14" t="s">
        <v>63</v>
      </c>
      <c r="B11" s="16">
        <v>46300</v>
      </c>
      <c r="C11" s="14" t="s">
        <v>172</v>
      </c>
      <c r="D11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rightToLeft="1" workbookViewId="0">
      <pane xSplit="1" ySplit="1" topLeftCell="D2" activePane="bottomRight" state="frozen"/>
      <selection pane="topRight"/>
      <selection pane="bottomLeft"/>
      <selection pane="bottomRight" activeCell="G3" sqref="G3"/>
    </sheetView>
  </sheetViews>
  <sheetFormatPr defaultRowHeight="14.25"/>
  <cols>
    <col min="1" max="1" width="16" style="20" customWidth="1"/>
    <col min="2" max="2" width="20" style="20" customWidth="1"/>
    <col min="3" max="3" width="30" style="20" customWidth="1"/>
    <col min="4" max="4" width="45" style="20" customWidth="1"/>
    <col min="5" max="5" width="30" style="20" customWidth="1"/>
    <col min="6" max="6" width="45" style="20" customWidth="1"/>
    <col min="7" max="7" width="30" style="20" customWidth="1"/>
    <col min="8" max="8" width="16" customWidth="1"/>
    <col min="9" max="9" width="13" style="20" customWidth="1"/>
    <col min="10" max="10" width="9.06640625" style="20" customWidth="1"/>
    <col min="11" max="16384" width="9.06640625" style="20"/>
  </cols>
  <sheetData>
    <row r="1" spans="1:8">
      <c r="A1" s="19" t="s">
        <v>13</v>
      </c>
      <c r="B1" s="19" t="s">
        <v>177</v>
      </c>
      <c r="C1" s="19" t="s">
        <v>178</v>
      </c>
      <c r="D1" s="19" t="s">
        <v>179</v>
      </c>
      <c r="E1" s="19" t="s">
        <v>180</v>
      </c>
      <c r="F1" s="19" t="s">
        <v>149</v>
      </c>
      <c r="G1" s="19" t="s">
        <v>181</v>
      </c>
      <c r="H1" s="3" t="s">
        <v>182</v>
      </c>
    </row>
    <row r="2" spans="1:8" ht="81" customHeight="1">
      <c r="A2" s="21" t="s">
        <v>30</v>
      </c>
      <c r="B2" s="21" t="s">
        <v>131</v>
      </c>
      <c r="C2" s="22" t="s">
        <v>183</v>
      </c>
      <c r="D2" s="21" t="s">
        <v>184</v>
      </c>
      <c r="E2" s="22" t="s">
        <v>185</v>
      </c>
      <c r="F2" s="21" t="s">
        <v>186</v>
      </c>
      <c r="G2" s="23" t="s">
        <v>187</v>
      </c>
      <c r="H2" t="s">
        <v>188</v>
      </c>
    </row>
    <row r="3" spans="1:8" ht="71.25" customHeight="1">
      <c r="A3" s="24" t="s">
        <v>38</v>
      </c>
      <c r="B3" s="24" t="s">
        <v>189</v>
      </c>
      <c r="C3" s="22" t="s">
        <v>190</v>
      </c>
      <c r="D3" s="24" t="s">
        <v>191</v>
      </c>
      <c r="E3" s="22" t="s">
        <v>192</v>
      </c>
      <c r="F3" s="21" t="s">
        <v>193</v>
      </c>
      <c r="H3" t="s">
        <v>188</v>
      </c>
    </row>
    <row r="4" spans="1:8" ht="42.75" customHeight="1">
      <c r="A4" s="24" t="s">
        <v>47</v>
      </c>
      <c r="B4" s="24" t="s">
        <v>194</v>
      </c>
      <c r="C4" s="22" t="s">
        <v>195</v>
      </c>
      <c r="D4" s="24" t="s">
        <v>196</v>
      </c>
      <c r="E4" s="22" t="s">
        <v>197</v>
      </c>
      <c r="F4" s="24" t="s">
        <v>198</v>
      </c>
      <c r="H4" t="s">
        <v>188</v>
      </c>
    </row>
    <row r="5" spans="1:8" ht="114" customHeight="1">
      <c r="A5" s="24" t="s">
        <v>54</v>
      </c>
      <c r="B5" s="24" t="s">
        <v>199</v>
      </c>
      <c r="C5" s="22" t="s">
        <v>200</v>
      </c>
      <c r="D5" s="24" t="s">
        <v>201</v>
      </c>
      <c r="E5" s="22" t="s">
        <v>202</v>
      </c>
      <c r="F5" s="24" t="s">
        <v>203</v>
      </c>
      <c r="H5" t="s">
        <v>188</v>
      </c>
    </row>
    <row r="6" spans="1:8" ht="42.75" customHeight="1">
      <c r="A6" s="24" t="s">
        <v>63</v>
      </c>
      <c r="B6" s="24" t="s">
        <v>189</v>
      </c>
      <c r="C6" s="22" t="s">
        <v>204</v>
      </c>
      <c r="D6" s="24"/>
      <c r="E6" s="24"/>
      <c r="F6" s="24" t="s">
        <v>205</v>
      </c>
      <c r="H6" t="s">
        <v>206</v>
      </c>
    </row>
  </sheetData>
  <dataValidations count="1">
    <dataValidation type="list" allowBlank="1" sqref="H2:H50">
      <formula1>"لم يبدأ,قيد المتابعة,تم"</formula1>
    </dataValidation>
  </dataValidations>
  <hyperlinks>
    <hyperlink ref="C2" r:id="rId1"/>
    <hyperlink ref="E2" r:id="rId2"/>
    <hyperlink ref="G2" r:id="rId3"/>
    <hyperlink ref="C3" r:id="rId4"/>
    <hyperlink ref="E3" r:id="rId5"/>
    <hyperlink ref="C4" r:id="rId6"/>
    <hyperlink ref="E4" r:id="rId7"/>
    <hyperlink ref="C5" r:id="rId8"/>
    <hyperlink ref="E5" r:id="rId9"/>
    <hyperlink ref="C6" r:id="rId10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القوائم!$C$1:$C$20</xm:f>
          </x14:formula1>
          <xm:sqref>B2:B50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rightToLeft="1" workbookViewId="0">
      <pane ySplit="1" topLeftCell="A2" activePane="bottomLeft" state="frozen"/>
      <selection pane="bottomLeft" activeCell="B8" sqref="B8"/>
    </sheetView>
  </sheetViews>
  <sheetFormatPr defaultRowHeight="14.25"/>
  <cols>
    <col min="1" max="1" width="24" customWidth="1"/>
    <col min="2" max="2" width="26" customWidth="1"/>
    <col min="3" max="3" width="32" customWidth="1"/>
    <col min="4" max="4" width="40" customWidth="1"/>
    <col min="5" max="6" width="22" customWidth="1"/>
  </cols>
  <sheetData>
    <row r="1" spans="1:6">
      <c r="A1" s="3" t="s">
        <v>13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</row>
    <row r="2" spans="1:6">
      <c r="A2" s="33" t="s">
        <v>30</v>
      </c>
      <c r="B2" s="34">
        <v>0</v>
      </c>
      <c r="C2" s="34"/>
      <c r="D2" s="33"/>
      <c r="E2" s="36">
        <v>20</v>
      </c>
      <c r="F2" s="36">
        <v>25</v>
      </c>
    </row>
    <row r="3" spans="1:6">
      <c r="A3" s="33" t="s">
        <v>38</v>
      </c>
      <c r="B3" s="34">
        <v>6000000</v>
      </c>
      <c r="C3" s="34"/>
      <c r="D3" s="33"/>
      <c r="E3" s="36">
        <v>20</v>
      </c>
      <c r="F3" s="36">
        <v>25</v>
      </c>
    </row>
    <row r="4" spans="1:6">
      <c r="A4" s="33" t="s">
        <v>47</v>
      </c>
      <c r="B4" s="34">
        <v>5500000</v>
      </c>
      <c r="C4" s="34"/>
      <c r="D4" s="33"/>
      <c r="E4" s="36">
        <v>20</v>
      </c>
      <c r="F4" s="36">
        <v>25</v>
      </c>
    </row>
    <row r="5" spans="1:6">
      <c r="A5" s="33" t="s">
        <v>54</v>
      </c>
      <c r="B5" s="34">
        <v>6500000</v>
      </c>
      <c r="C5" s="34"/>
      <c r="D5" s="33"/>
      <c r="E5" s="36">
        <v>20</v>
      </c>
      <c r="F5" s="36">
        <v>25</v>
      </c>
    </row>
    <row r="6" spans="1:6">
      <c r="A6" s="33" t="s">
        <v>63</v>
      </c>
      <c r="B6" s="34">
        <v>3000000</v>
      </c>
      <c r="C6" s="34"/>
      <c r="D6" s="33"/>
      <c r="E6" s="36">
        <v>15</v>
      </c>
      <c r="F6" s="36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rightToLeft="1" tabSelected="1" workbookViewId="0">
      <pane ySplit="1" topLeftCell="A2" activePane="bottomLeft" state="frozen"/>
      <selection pane="bottomLeft" activeCell="B6" sqref="B6"/>
    </sheetView>
  </sheetViews>
  <sheetFormatPr defaultRowHeight="14.25"/>
  <cols>
    <col min="1" max="1" width="34" customWidth="1"/>
    <col min="2" max="2" width="90" customWidth="1"/>
  </cols>
  <sheetData>
    <row r="1" spans="1:2">
      <c r="A1" s="3" t="s">
        <v>212</v>
      </c>
      <c r="B1" s="3" t="s">
        <v>213</v>
      </c>
    </row>
    <row r="2" spans="1:2">
      <c r="A2" s="33" t="s">
        <v>214</v>
      </c>
      <c r="B2" s="35" t="s">
        <v>215</v>
      </c>
    </row>
    <row r="3" spans="1:2" ht="28.5">
      <c r="A3" s="33" t="s">
        <v>216</v>
      </c>
      <c r="B3" s="35" t="s">
        <v>230</v>
      </c>
    </row>
    <row r="4" spans="1:2">
      <c r="A4" s="33" t="s">
        <v>217</v>
      </c>
      <c r="B4" s="35" t="s">
        <v>218</v>
      </c>
    </row>
    <row r="5" spans="1:2">
      <c r="A5" s="33" t="s">
        <v>219</v>
      </c>
      <c r="B5" s="35"/>
    </row>
    <row r="6" spans="1:2">
      <c r="A6" s="33" t="s">
        <v>220</v>
      </c>
      <c r="B6" s="3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rightToLeft="1" workbookViewId="0">
      <pane ySplit="1" topLeftCell="A2" activePane="bottomLeft" state="frozen"/>
      <selection pane="bottomLeft" activeCell="C8" sqref="C8"/>
    </sheetView>
  </sheetViews>
  <sheetFormatPr defaultRowHeight="14.25"/>
  <cols>
    <col min="1" max="1" width="8" customWidth="1"/>
    <col min="2" max="2" width="30" customWidth="1"/>
    <col min="3" max="3" width="90" customWidth="1"/>
  </cols>
  <sheetData>
    <row r="1" spans="1:3">
      <c r="A1" s="3" t="s">
        <v>221</v>
      </c>
      <c r="B1" s="3" t="s">
        <v>222</v>
      </c>
      <c r="C1" s="3" t="s">
        <v>223</v>
      </c>
    </row>
    <row r="2" spans="1:3">
      <c r="A2" s="33">
        <v>1</v>
      </c>
      <c r="B2" s="33" t="s">
        <v>224</v>
      </c>
      <c r="C2" s="33" t="s">
        <v>229</v>
      </c>
    </row>
    <row r="3" spans="1:3">
      <c r="A3" s="33">
        <v>2</v>
      </c>
      <c r="B3" s="33" t="s">
        <v>225</v>
      </c>
      <c r="C3" s="33" t="s">
        <v>226</v>
      </c>
    </row>
    <row r="4" spans="1:3">
      <c r="A4" s="33">
        <v>3</v>
      </c>
      <c r="B4" s="33" t="s">
        <v>227</v>
      </c>
      <c r="C4" s="33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تعليمات</vt:lpstr>
      <vt:lpstr>بيانات_المشاريع</vt:lpstr>
      <vt:lpstr>مستخلصات_ريف</vt:lpstr>
      <vt:lpstr>مستخلصات_اعتماد</vt:lpstr>
      <vt:lpstr>القوائم</vt:lpstr>
      <vt:lpstr>المناقلات</vt:lpstr>
      <vt:lpstr>المستحدثات</vt:lpstr>
      <vt:lpstr>المهام</vt:lpstr>
      <vt:lpstr>التيار_الكهربائي</vt:lpstr>
      <vt:lpstr>المستهدف</vt:lpstr>
      <vt:lpstr>إعدادات_المستهدف</vt:lpstr>
      <vt:lpstr>آلية_العمل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Turki Alharbi</cp:lastModifiedBy>
  <cp:revision>0</cp:revision>
  <dcterms:created xsi:type="dcterms:W3CDTF">2026-09-08T12:33:06Z</dcterms:created>
  <dcterms:modified xsi:type="dcterms:W3CDTF">2026-10-04T22:01:28Z</dcterms:modified>
  <dc:language>en-US</dc:language>
</cp:coreProperties>
</file>